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gtctermocontrolsa-my.sharepoint.com/personal/bi_gtc_com_mx/Documents/Escritorio/1.Power BI/1.8.Avance PM/B.PBI DataSet/Version 1.0/"/>
    </mc:Choice>
  </mc:AlternateContent>
  <xr:revisionPtr revIDLastSave="1608" documentId="8_{7F52C92B-FB8D-4A09-B2E6-E570CD37A2D6}" xr6:coauthVersionLast="47" xr6:coauthVersionMax="47" xr10:uidLastSave="{852F7E0B-C259-4D7D-9D6B-DB7C940A39EF}"/>
  <bookViews>
    <workbookView xWindow="-108" yWindow="-108" windowWidth="23256" windowHeight="12456" tabRatio="656" xr2:uid="{342C5B29-DF0D-45E0-95BF-73E4E6B2261C}"/>
  </bookViews>
  <sheets>
    <sheet name="Dummy" sheetId="22"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P">#REF!</definedName>
    <definedName name="\q">#REF!</definedName>
    <definedName name="\R">#REF!</definedName>
    <definedName name="\s">#REF!</definedName>
    <definedName name="\T">#REF!</definedName>
    <definedName name="\u">#REF!</definedName>
    <definedName name="\w">#REF!</definedName>
    <definedName name="\X">#REF!</definedName>
    <definedName name="\z">#REF!</definedName>
    <definedName name="__">#REF!</definedName>
    <definedName name="___">#REF!</definedName>
    <definedName name="______TC">#REF!</definedName>
    <definedName name="____CFC1">#REF!</definedName>
    <definedName name="____CFC2">#REF!</definedName>
    <definedName name="____CFC3">#REF!</definedName>
    <definedName name="____CGC1">#REF!</definedName>
    <definedName name="____CGC2">#REF!</definedName>
    <definedName name="____CGC3">#REF!</definedName>
    <definedName name="____DET6">#REF!</definedName>
    <definedName name="____FGC1">#REF!</definedName>
    <definedName name="____FGC2">#REF!</definedName>
    <definedName name="____FGC3">#REF!</definedName>
    <definedName name="____FSC1">#REF!</definedName>
    <definedName name="____FSC2">#REF!</definedName>
    <definedName name="____FSC3">#REF!</definedName>
    <definedName name="____HEC1">#REF!</definedName>
    <definedName name="____HEC2">#REF!</definedName>
    <definedName name="____HEC3">#REF!</definedName>
    <definedName name="____MBC1">#REF!</definedName>
    <definedName name="____MBC2">#REF!</definedName>
    <definedName name="____MBC3">#REF!</definedName>
    <definedName name="____MEC1">#REF!</definedName>
    <definedName name="____MEC2">#REF!</definedName>
    <definedName name="____MEC3">#REF!</definedName>
    <definedName name="____PEC1">#REF!</definedName>
    <definedName name="____PEC2">#REF!</definedName>
    <definedName name="____PEC3">#REF!</definedName>
    <definedName name="____PFC1">#REF!</definedName>
    <definedName name="____PFC2">#REF!</definedName>
    <definedName name="____PFC3">#REF!</definedName>
    <definedName name="____TC1">#REF!</definedName>
    <definedName name="___gsf1">#REF!</definedName>
    <definedName name="___gsf34">#REF!</definedName>
    <definedName name="___gsf35">#REF!</definedName>
    <definedName name="___gsf9">#REF!</definedName>
    <definedName name="___TC1">#REF!</definedName>
    <definedName name="__A655350">#REF!</definedName>
    <definedName name="__A67000">#REF!</definedName>
    <definedName name="__A70000">#REF!</definedName>
    <definedName name="__A70500">#REF!</definedName>
    <definedName name="__A70900">#REF!</definedName>
    <definedName name="__A72000">#REF!</definedName>
    <definedName name="__A80900">#REF!</definedName>
    <definedName name="__A90900">#REF!</definedName>
    <definedName name="__CFC1">#REF!</definedName>
    <definedName name="__CFC2">#REF!</definedName>
    <definedName name="__CFC3">#REF!</definedName>
    <definedName name="__CGC1">#REF!</definedName>
    <definedName name="__CGC2">#REF!</definedName>
    <definedName name="__CGC3">#REF!</definedName>
    <definedName name="__DET6">#REF!</definedName>
    <definedName name="__FGC1">#REF!</definedName>
    <definedName name="__FGC2">#REF!</definedName>
    <definedName name="__FGC3">#REF!</definedName>
    <definedName name="__FSC1">#REF!</definedName>
    <definedName name="__FSC2">#REF!</definedName>
    <definedName name="__FSC3">#REF!</definedName>
    <definedName name="__gsf1">#REF!</definedName>
    <definedName name="__gsf34">#REF!</definedName>
    <definedName name="__gsf35">#REF!</definedName>
    <definedName name="__gsf9">#REF!</definedName>
    <definedName name="__HEC1">#REF!</definedName>
    <definedName name="__HEC2">#REF!</definedName>
    <definedName name="__HEC3">#REF!</definedName>
    <definedName name="__MBC1">#REF!</definedName>
    <definedName name="__MBC2">#REF!</definedName>
    <definedName name="__MBC3">#REF!</definedName>
    <definedName name="__MEC1">#REF!</definedName>
    <definedName name="__MEC2">#REF!</definedName>
    <definedName name="__MEC3">#REF!</definedName>
    <definedName name="__PEC1">#REF!</definedName>
    <definedName name="__PEC2">#REF!</definedName>
    <definedName name="__PEC3">#REF!</definedName>
    <definedName name="__PFC1">#REF!</definedName>
    <definedName name="__PFC2">#REF!</definedName>
    <definedName name="__PFC3">#REF!</definedName>
    <definedName name="__TC1">#REF!</definedName>
    <definedName name="__TC2">#REF!</definedName>
    <definedName name="__xlnm._FilterDatabase_1">#REF!</definedName>
    <definedName name="__xlnm._FilterDatabase_1_1">#REF!</definedName>
    <definedName name="_0">#REF!</definedName>
    <definedName name="_2500">#REF!</definedName>
    <definedName name="_3_">#REF!</definedName>
    <definedName name="_3000">#REF!</definedName>
    <definedName name="_4000">#REF!</definedName>
    <definedName name="_5000">#REF!</definedName>
    <definedName name="_6_">#REF!</definedName>
    <definedName name="_6000">#REF!</definedName>
    <definedName name="_7000">#REF!</definedName>
    <definedName name="_9TEN">#REF!</definedName>
    <definedName name="_A655350">#REF!</definedName>
    <definedName name="_A67000">#REF!</definedName>
    <definedName name="_A70000">#REF!</definedName>
    <definedName name="_A70500">#REF!</definedName>
    <definedName name="_A70501">#REF!</definedName>
    <definedName name="_A70900">#REF!</definedName>
    <definedName name="_A72000">#REF!</definedName>
    <definedName name="_A80900">#REF!</definedName>
    <definedName name="_A90900">#REF!</definedName>
    <definedName name="_bu10">#REF!</definedName>
    <definedName name="_bu11">#REF!</definedName>
    <definedName name="_bu12">#REF!</definedName>
    <definedName name="_bu4">#REF!</definedName>
    <definedName name="_bu6">#REF!</definedName>
    <definedName name="_bu7">#REF!</definedName>
    <definedName name="_bu8">#REF!</definedName>
    <definedName name="_bu9">#REF!</definedName>
    <definedName name="_CFC1">#REF!</definedName>
    <definedName name="_CFC2">#REF!</definedName>
    <definedName name="_CFC3">#REF!</definedName>
    <definedName name="_CGC1">#REF!</definedName>
    <definedName name="_CGC2">#REF!</definedName>
    <definedName name="_CGC3">#REF!</definedName>
    <definedName name="_CIA1">#REF!</definedName>
    <definedName name="_CS1">#REF!</definedName>
    <definedName name="_CSE">#REF!</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ET6">#REF!</definedName>
    <definedName name="_FGC1">#REF!</definedName>
    <definedName name="_FGC2">#REF!</definedName>
    <definedName name="_FGC3">#REF!</definedName>
    <definedName name="_Fill" hidden="1">#REF!</definedName>
    <definedName name="_FSC1">#REF!</definedName>
    <definedName name="_FSC2">#REF!</definedName>
    <definedName name="_FSC3">#REF!</definedName>
    <definedName name="_gsf1">#REF!</definedName>
    <definedName name="_gsf34">#REF!</definedName>
    <definedName name="_gsf35">#REF!</definedName>
    <definedName name="_gsf9">#REF!</definedName>
    <definedName name="_HEC1">#REF!</definedName>
    <definedName name="_HEC2">#REF!</definedName>
    <definedName name="_HEC3">#REF!</definedName>
    <definedName name="_Key1" hidden="1">#REF!</definedName>
    <definedName name="_Key2" hidden="1">#REF!</definedName>
    <definedName name="_MBC1">#REF!</definedName>
    <definedName name="_MBC2">#REF!</definedName>
    <definedName name="_MBC3">#REF!</definedName>
    <definedName name="_MEC1">#REF!</definedName>
    <definedName name="_MEC2">#REF!</definedName>
    <definedName name="_MEC3">#REF!</definedName>
    <definedName name="_Order1" hidden="1">255</definedName>
    <definedName name="_Order2" hidden="1">255</definedName>
    <definedName name="_p">#REF!</definedName>
    <definedName name="_PEC1">#REF!</definedName>
    <definedName name="_PEC2">#REF!</definedName>
    <definedName name="_PEC3">#REF!</definedName>
    <definedName name="_PFC1">#REF!</definedName>
    <definedName name="_PFC2">#REF!</definedName>
    <definedName name="_PFC3">#REF!</definedName>
    <definedName name="_Sort" hidden="1">#REF!</definedName>
    <definedName name="_TC1">#REF!</definedName>
    <definedName name="_TC12">#REF!</definedName>
    <definedName name="_TC2">#REF!</definedName>
    <definedName name="_TC5">#REF!</definedName>
    <definedName name="_tc50">#REF!</definedName>
    <definedName name="_TCx">#REF!</definedName>
    <definedName name="a">#REF!</definedName>
    <definedName name="A_BASEMENTCONSTRUCTION">#REF!</definedName>
    <definedName name="A_CONSULTANTS">#REF!</definedName>
    <definedName name="A_CONTINGENCYCONSTRUCTION">#REF!</definedName>
    <definedName name="A_CONTRACTORGENERALCONDITIONS">#REF!</definedName>
    <definedName name="A_CONVEYINGSYSTEMS">#REF!</definedName>
    <definedName name="A_ELECTRICAL">#REF!</definedName>
    <definedName name="A_EXTERIORENCLOSURE">#REF!</definedName>
    <definedName name="A_FIREPROTECTION">#REF!</definedName>
    <definedName name="A_HVAC">#REF!</definedName>
    <definedName name="A_impresión_IM">#REF!</definedName>
    <definedName name="A_INTERIORCONSTRUCTIONANDFINISHES">#REF!</definedName>
    <definedName name="A_INTERIORPIPINGSYSTEMS">#REF!</definedName>
    <definedName name="A_ITANDSYSTEMS">#REF!</definedName>
    <definedName name="A_ITINFRASTRUCTRE">#REF!</definedName>
    <definedName name="A_KOHLERCEMHOURS">#REF!</definedName>
    <definedName name="A_KOHLERCEMTRAVEL">#REF!</definedName>
    <definedName name="A_KOHLERGENERALCONDITIONS">#REF!</definedName>
    <definedName name="A_LANDDEVELOPMENT">#REF!</definedName>
    <definedName name="A_LANDPURCHASE">#REF!</definedName>
    <definedName name="A_OTHERSITECONSTRUCTION">#REF!</definedName>
    <definedName name="A_PEMB">#REF!</definedName>
    <definedName name="A_PEMB2">#REF!</definedName>
    <definedName name="A_PERMITSANDFEES">#REF!</definedName>
    <definedName name="A_PROCESSEQUIPMENT">#REF!</definedName>
    <definedName name="A_PROCESSINFRASTRUCTURE">#REF!</definedName>
    <definedName name="A_ROOFING">#REF!</definedName>
    <definedName name="A_SECURITYSYSTEMSANDINFRASTRUCTURE">#REF!</definedName>
    <definedName name="A_SELECTIVEBUILDINGDEMO">#REF!</definedName>
    <definedName name="A_SITECIVILARCHIMPROVEMENTS">#REF!</definedName>
    <definedName name="A_SITEELECTRICALUTILITIES">#REF!</definedName>
    <definedName name="A_SITEITUTILITIES">#REF!</definedName>
    <definedName name="A_SITEPIPINGUTILITIES">#REF!</definedName>
    <definedName name="A_SITEPREPARATION">#REF!</definedName>
    <definedName name="A_SLABONGRADE">#REF!</definedName>
    <definedName name="A_SPECIALCONSTRUCTION">#REF!</definedName>
    <definedName name="A_SPECIALFOUNDATIONS">#REF!</definedName>
    <definedName name="A_STANDARDFOUNDATIONS">#REF!</definedName>
    <definedName name="A_SUPERSTRUCTURE">#REF!</definedName>
    <definedName name="aa">#REF!</definedName>
    <definedName name="aamm2">#REF!</definedName>
    <definedName name="ab">#REF!</definedName>
    <definedName name="ABC">#REF!</definedName>
    <definedName name="acumuladoantletrasmon1">#REF!</definedName>
    <definedName name="acumuladoantletrasmon2">#REF!</definedName>
    <definedName name="acumuladoantmon1">#REF!</definedName>
    <definedName name="acumuladoantmon2">#REF!</definedName>
    <definedName name="acumuladoconletrasmon1">#REF!</definedName>
    <definedName name="acumuladoconletrasmon2">#REF!</definedName>
    <definedName name="acumuladomon1">#REF!</definedName>
    <definedName name="acumuladomon2">#REF!</definedName>
    <definedName name="ads">#REF!</definedName>
    <definedName name="AE">#REF!</definedName>
    <definedName name="agsf">#REF!</definedName>
    <definedName name="ajusterebolloso">#REF!</definedName>
    <definedName name="ajusterebolloso2">#REF!</definedName>
    <definedName name="ANCHOR_BUILDING_CONSTRUCTION">#REF!</definedName>
    <definedName name="ANEXO">#REF!</definedName>
    <definedName name="Anticipo">#REF!</definedName>
    <definedName name="ANTICIPO2">#REF!</definedName>
    <definedName name="apts">#REF!</definedName>
    <definedName name="apts2">#REF!</definedName>
    <definedName name="area">#REF!</definedName>
    <definedName name="Area_2">#REF!</definedName>
    <definedName name="_xlnm.Extract">#REF!</definedName>
    <definedName name="_xlnm.Print_Area">#REF!</definedName>
    <definedName name="area2">#REF!</definedName>
    <definedName name="asd">#REF!</definedName>
    <definedName name="ASDA">#REF!</definedName>
    <definedName name="ASDADASD">#REF!</definedName>
    <definedName name="ASLF">#REF!</definedName>
    <definedName name="assss">#REF!</definedName>
    <definedName name="AUDVIE">#REF!</definedName>
    <definedName name="aushfloascasca">#REF!</definedName>
    <definedName name="avance">#REF!</definedName>
    <definedName name="B22254316">#REF!</definedName>
    <definedName name="BACKHOE">#REF!</definedName>
    <definedName name="base">#REF!</definedName>
    <definedName name="Base_datos_IM">#REF!</definedName>
    <definedName name="_xlnm.Database">#REF!</definedName>
    <definedName name="Basement_Depth">#REF!</definedName>
    <definedName name="Basement_Present">#REF!</definedName>
    <definedName name="Básico">#REF!</definedName>
    <definedName name="bbbb">#REF!</definedName>
    <definedName name="BC">#REF!</definedName>
    <definedName name="Beam_Density">#REF!</definedName>
    <definedName name="Beam_Depth">#REF!</definedName>
    <definedName name="Beam_Rebar">#REF!</definedName>
    <definedName name="Beam_Width">#REF!</definedName>
    <definedName name="bgsf">#REF!</definedName>
    <definedName name="bleacher">#REF!</definedName>
    <definedName name="bond">#REF!</definedName>
    <definedName name="BondDetail">#REF!</definedName>
    <definedName name="BREAKOUT">#REF!</definedName>
    <definedName name="BRKDWN">#REF!</definedName>
    <definedName name="bsfew">#REF!</definedName>
    <definedName name="bsog">#REF!</definedName>
    <definedName name="Building_Height">#REF!</definedName>
    <definedName name="BURDEN">#REF!</definedName>
    <definedName name="BUYOUT">#REF!</definedName>
    <definedName name="C_">#REF!</definedName>
    <definedName name="CAMBIOS">#REF!</definedName>
    <definedName name="cargo">#REF!</definedName>
    <definedName name="cargo2">#REF!</definedName>
    <definedName name="cargocontacto">#REF!</definedName>
    <definedName name="cargocontacto2">#REF!</definedName>
    <definedName name="cargoresponsabledelaobra">#REF!</definedName>
    <definedName name="cargoresponsabledeobra2">#REF!</definedName>
    <definedName name="cargovendedor">#REF!</definedName>
    <definedName name="CatalogoPrecioUnitarios">#REF!</definedName>
    <definedName name="cbgsf">#REF!</definedName>
    <definedName name="ccccc">#REF!</definedName>
    <definedName name="CF">#REF!</definedName>
    <definedName name="CFCM">#REF!</definedName>
    <definedName name="CFFM">#REF!</definedName>
    <definedName name="CFGF">#REF!</definedName>
    <definedName name="CFLM">#REF!</definedName>
    <definedName name="CFR">#REF!</definedName>
    <definedName name="CFSAL">#REF!</definedName>
    <definedName name="CG">#REF!</definedName>
    <definedName name="CGCM">#REF!</definedName>
    <definedName name="CGFM">#REF!</definedName>
    <definedName name="CGGF">#REF!</definedName>
    <definedName name="CGLM">#REF!</definedName>
    <definedName name="CGR">#REF!</definedName>
    <definedName name="CGSAL">#REF!</definedName>
    <definedName name="cgsf">#REF!</definedName>
    <definedName name="Ciuda">#REF!</definedName>
    <definedName name="ciudad">#REF!</definedName>
    <definedName name="Ciudad1">#REF!</definedName>
    <definedName name="ciudadcliente">#REF!</definedName>
    <definedName name="ciudadcliente2">#REF!</definedName>
    <definedName name="ciudaddelaobra">#REF!</definedName>
    <definedName name="Class2">#REF!</definedName>
    <definedName name="class2list">#REF!,#REF!,#REF!,#REF!</definedName>
    <definedName name="Classif">#REF!</definedName>
    <definedName name="CLAVE">#REF!</definedName>
    <definedName name="cmic">#REF!</definedName>
    <definedName name="CODE">#REF!</definedName>
    <definedName name="CodigoAuxiliar">#REF!</definedName>
    <definedName name="codigodelaobra">#REF!</definedName>
    <definedName name="CodigoMatriz">#REF!</definedName>
    <definedName name="CodigoPartida">#REF!</definedName>
    <definedName name="codigopostalcliente">#REF!</definedName>
    <definedName name="codigopostaldelaobra">#REF!</definedName>
    <definedName name="codigovendedor">#REF!</definedName>
    <definedName name="Col1_Count">#REF!</definedName>
    <definedName name="Col1_Depth">#REF!</definedName>
    <definedName name="Col1_Rebar">#REF!</definedName>
    <definedName name="Col1_Width">#REF!</definedName>
    <definedName name="Col2_Depth">#REF!</definedName>
    <definedName name="Col2_Number">#REF!</definedName>
    <definedName name="Col2_Rebar">#REF!</definedName>
    <definedName name="Col2_Width">#REF!</definedName>
    <definedName name="Col3_Count">#REF!</definedName>
    <definedName name="Col3_Depth">#REF!</definedName>
    <definedName name="Col3_Rebar">#REF!</definedName>
    <definedName name="Col3_Width">#REF!</definedName>
    <definedName name="colonia">#REF!</definedName>
    <definedName name="coloniacliente">#REF!</definedName>
    <definedName name="coloniadelaobra">#REF!</definedName>
    <definedName name="COLUMN">#REF!</definedName>
    <definedName name="comercio">#REF!</definedName>
    <definedName name="Commissions">#REF!</definedName>
    <definedName name="CommRate">#REF!</definedName>
    <definedName name="COMPARE">#REF!</definedName>
    <definedName name="CompDate">#REF!</definedName>
    <definedName name="CONC">#REF!</definedName>
    <definedName name="CONC_A">#REF!</definedName>
    <definedName name="CONC_CRIT">#REF!</definedName>
    <definedName name="conc3K">#REF!</definedName>
    <definedName name="conc4K">#REF!</definedName>
    <definedName name="concepto">#REF!</definedName>
    <definedName name="CONCURSO">#REF!</definedName>
    <definedName name="condiciones">#REF!</definedName>
    <definedName name="ConstCost">#REF!</definedName>
    <definedName name="ConstDuration">#REF!</definedName>
    <definedName name="ConstFinish">#REF!</definedName>
    <definedName name="ConstIntRate">#REF!</definedName>
    <definedName name="ConstItem">#REF!</definedName>
    <definedName name="ConstLoan">#REF!</definedName>
    <definedName name="ConstMonth">#REF!</definedName>
    <definedName name="ConstPeriod">#REF!</definedName>
    <definedName name="ConstPSF">#REF!</definedName>
    <definedName name="Construction">#REF!</definedName>
    <definedName name="CONSTRUCTION_ADMINISTRATION">#REF!</definedName>
    <definedName name="CONSTRUCTION_RECOVERIES">#REF!</definedName>
    <definedName name="ConstructionInterest">#REF!</definedName>
    <definedName name="ConstructionValue">#REF!</definedName>
    <definedName name="ConstStart">#REF!</definedName>
    <definedName name="contactocliente">#REF!</definedName>
    <definedName name="CONTAUD">#REF!</definedName>
    <definedName name="conti">#REF!</definedName>
    <definedName name="Contractual">#REF!</definedName>
    <definedName name="Contratado">#REF!</definedName>
    <definedName name="CONTRATO">#REF!</definedName>
    <definedName name="ContratoRevisado">#REF!</definedName>
    <definedName name="CONVERTIR">#REF!</definedName>
    <definedName name="Correo">#REF!</definedName>
    <definedName name="CosntInterest">#REF!</definedName>
    <definedName name="COST">#REF!</definedName>
    <definedName name="COST_OF_VACANCY">#REF!</definedName>
    <definedName name="CostoMatriz1">#REF!</definedName>
    <definedName name="CostoMatriz2">#REF!</definedName>
    <definedName name="CPC">#REF!</definedName>
    <definedName name="CPS">#REF!</definedName>
    <definedName name="CRANE">#REF!</definedName>
    <definedName name="CRIT">#REF!</definedName>
    <definedName name="Criteria_MI">#REF!</definedName>
    <definedName name="_xlnm.Criteria">#REF!</definedName>
    <definedName name="Criterios_IM">#REF!</definedName>
    <definedName name="criterios1">#REF!</definedName>
    <definedName name="csfew">#REF!</definedName>
    <definedName name="CT">#REF!</definedName>
    <definedName name="CumulCost">#REF!</definedName>
    <definedName name="CumulCostLU">#REF!</definedName>
    <definedName name="CurrentDate">#REF!</definedName>
    <definedName name="CurrentDateLU">#REF!</definedName>
    <definedName name="CurrentMonth">#REF!</definedName>
    <definedName name="CurrentMonthLU">#REF!</definedName>
    <definedName name="d">#REF!</definedName>
    <definedName name="da">#REF!</definedName>
    <definedName name="dadad">#REF!</definedName>
    <definedName name="DATA">#REF!</definedName>
    <definedName name="data_1">#REF!</definedName>
    <definedName name="data_2">#REF!</definedName>
    <definedName name="Database_MI">#REF!</definedName>
    <definedName name="DATE">#REF!</definedName>
    <definedName name="datos">#REF!</definedName>
    <definedName name="datos_tienda">#REF!</definedName>
    <definedName name="DaysInMonth">#VALUE!</definedName>
    <definedName name="DaysInMonthLU">#VALUE!</definedName>
    <definedName name="db">#REF!</definedName>
    <definedName name="dbs">#REF!</definedName>
    <definedName name="DD">#REF!</definedName>
    <definedName name="dddd">#REF!</definedName>
    <definedName name="decimalesredondeo">#REF!</definedName>
    <definedName name="Deck_Fill_Depth">#REF!</definedName>
    <definedName name="DEER">#REF!</definedName>
    <definedName name="departamento">#REF!</definedName>
    <definedName name="DescripcionMatriz">#REF!</definedName>
    <definedName name="DescripcionPartidaCorta">#REF!</definedName>
    <definedName name="DescripcionPartidaLarga">#REF!</definedName>
    <definedName name="DetalleTipo1">#REF!</definedName>
    <definedName name="DetalleTipo2">#REF!</definedName>
    <definedName name="DetalleTipo3">#REF!</definedName>
    <definedName name="DetalleTipo4">#REF!</definedName>
    <definedName name="DetalleTipo8">#REF!</definedName>
    <definedName name="DetalleTipoOtros">#REF!</definedName>
    <definedName name="DEVELOPMENT_LEGAL">#REF!</definedName>
    <definedName name="Dexcription">#REF!</definedName>
    <definedName name="df">#REF!</definedName>
    <definedName name="direccioncliente">#REF!</definedName>
    <definedName name="direcciondeconcurso">#REF!</definedName>
    <definedName name="direcciondelaobra">#REF!</definedName>
    <definedName name="DISAUD">#REF!</definedName>
    <definedName name="DISEÑO">#REF!</definedName>
    <definedName name="domicilio">#REF!</definedName>
    <definedName name="doors" hidden="1">{#N/A,#N/A,FALSE,"Division 17";#N/A,#N/A,FALSE,"Division 16";#N/A,#N/A,FALSE,"Division 15-3";#N/A,#N/A,FALSE,"Division 15-2";#N/A,#N/A,FALSE,"Division 15-1";#N/A,#N/A,FALSE,"Division 14";#N/A,#N/A,FALSE,"Division 11-2";#N/A,#N/A,FALSE,"Division 11-1";#N/A,#N/A,FALSE,"Division 10 (2)";#N/A,#N/A,FALSE,"Division 10";#N/A,#N/A,FALSE,"Division 09-5";#N/A,#N/A,FALSE,"Division 09-4";#N/A,#N/A,FALSE,"Division 09-3";#N/A,#N/A,FALSE,"Division 09-2";#N/A,#N/A,FALSE,"Division 09-1";#N/A,#N/A,FALSE,"Division 08-2";#N/A,#N/A,FALSE,"Division 08-1";#N/A,#N/A,FALSE,"Division 07";#N/A,#N/A,FALSE,"Division 06";#N/A,#N/A,FALSE,"Division 05";#N/A,#N/A,FALSE,"Division 04";#N/A,#N/A,FALSE,"Division 03-5";#N/A,#N/A,FALSE,"Division 03-4";#N/A,#N/A,FALSE,"Division 03-3";#N/A,#N/A,FALSE,"Division 03-2";#N/A,#N/A,FALSE,"Division 03-1";#N/A,#N/A,FALSE,"Division 02-9";#N/A,#N/A,FALSE,"Division 02-8";#N/A,#N/A,FALSE,"Division 02-7";#N/A,#N/A,FALSE,"Division 02-6";#N/A,#N/A,FALSE,"Division 02-5";#N/A,#N/A,FALSE,"Division 02-4";#N/A,#N/A,FALSE,"Division 02-3";#N/A,#N/A,FALSE,"Division 02-2";#N/A,#N/A,FALSE,"Division 02-1";#N/A,#N/A,FALSE,"Division 02-1"}</definedName>
    <definedName name="Drafting">#REF!</definedName>
    <definedName name="dsvdf" comment="Tipo">#REF!</definedName>
    <definedName name="dur">#REF!</definedName>
    <definedName name="e" hidden="1">{"SCHEDULE",#N/A,FALSE,"Fin_sched"}</definedName>
    <definedName name="EA">#REF!</definedName>
    <definedName name="EEEE">#REF!</definedName>
    <definedName name="efffff">#REF!</definedName>
    <definedName name="elecador">#REF!</definedName>
    <definedName name="ELEMENTO_PEP___PMP">#REF!</definedName>
    <definedName name="Eliminar">#REF!</definedName>
    <definedName name="email">#REF!</definedName>
    <definedName name="emailcliente">#REF!</definedName>
    <definedName name="emaildelaobra">#REF!</definedName>
    <definedName name="EMBED">#REF!</definedName>
    <definedName name="EncabezadoTipo1">#REF!</definedName>
    <definedName name="EncabezadoTipo2">#REF!</definedName>
    <definedName name="EncabezadoTipo3">#REF!</definedName>
    <definedName name="EncabezadoTipo4">#REF!</definedName>
    <definedName name="EncabezadoTipoOtros">#REF!</definedName>
    <definedName name="ER">#REF!</definedName>
    <definedName name="ERER">#REF!</definedName>
    <definedName name="ererrer">#REF!</definedName>
    <definedName name="errrrr">#REF!</definedName>
    <definedName name="escamilla">#REF!</definedName>
    <definedName name="ess">#REF!</definedName>
    <definedName name="EST">#REF!</definedName>
    <definedName name="estacionamiento">#REF!</definedName>
    <definedName name="estado">#REF!</definedName>
    <definedName name="estadodelaobra">#REF!</definedName>
    <definedName name="ESTI">"ESTIMACION: "</definedName>
    <definedName name="ESTIMADO">#REF!</definedName>
    <definedName name="ESTIMADOS">#REF!</definedName>
    <definedName name="EstimateType">#REF!</definedName>
    <definedName name="ewrw" hidden="1">{"SUMMARY",#N/A,FALSE,"Fin_sched"}</definedName>
    <definedName name="Excel_BuiltIn__FilterDatabase_4">#REF!</definedName>
    <definedName name="Excel_BuiltIn_Print_Area">NA()</definedName>
    <definedName name="Excel_BuiltIn_Print_Area_1">#REF!</definedName>
    <definedName name="Excel_BuiltIn_Print_Area_1_1">#REF!</definedName>
    <definedName name="Excel_BuiltIn_Print_Area_2">#REF!</definedName>
    <definedName name="Excel_BuiltIn_Print_Area_2_1">#REF!</definedName>
    <definedName name="Excel_BuiltIn_Print_Area_3_1">#REF!</definedName>
    <definedName name="Excel_BuiltIn_Print_Area_4">#REF!</definedName>
    <definedName name="Excel_BuiltIn_Print_Area_4_1">#REF!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4">#REF!</definedName>
    <definedName name="Excel_BuiltIn_Print_Area_5_4_1">#REF!</definedName>
    <definedName name="Excel_BuiltIn_Print_Area_6">#REF!</definedName>
    <definedName name="Excel_BuiltIn_Print_Titles_1_1">#REF!</definedName>
    <definedName name="Excel_BuiltIn_Print_Titles_2">#REF!</definedName>
    <definedName name="Excel_BuiltIn_Print_Titles_2_1">#REF!</definedName>
    <definedName name="Excel_BuiltIn_Print_Titles_3_1">#REF!</definedName>
    <definedName name="Excel_BuiltIn_Print_Titles_4">#REF!</definedName>
    <definedName name="Excel_BuiltIn_Print_Titles_5">#REF!</definedName>
    <definedName name="Excel_BuiltIn_Print_Titles_6">#REF!</definedName>
    <definedName name="ExpenseSubtotal">#REF!</definedName>
    <definedName name="ExpenseTotal">#REF!</definedName>
    <definedName name="ExpenseTypes">#REF!</definedName>
    <definedName name="Extracción_IM">#REF!</definedName>
    <definedName name="Extract_MI">#REF!</definedName>
    <definedName name="FAR">#REF!</definedName>
    <definedName name="FECHA_GRAL">#REF!</definedName>
    <definedName name="fechaconcursocadena">#REF!</definedName>
    <definedName name="fechaconvocatoria">#REF!</definedName>
    <definedName name="fechadeconcurso">#REF!</definedName>
    <definedName name="fechainicio">#REF!</definedName>
    <definedName name="fechainiciotexto">#REF!</definedName>
    <definedName name="fechaterminacion">#REF!</definedName>
    <definedName name="fechaterminaciontexto">#REF!</definedName>
    <definedName name="FEECOMERCIALIZACION">#REF!</definedName>
    <definedName name="FERER">#REF!</definedName>
    <definedName name="fff">#REF!</definedName>
    <definedName name="FG">#REF!</definedName>
    <definedName name="FGCM">#REF!</definedName>
    <definedName name="FGFM">#REF!</definedName>
    <definedName name="FGGF">#REF!</definedName>
    <definedName name="FGLM">#REF!</definedName>
    <definedName name="FGR">#REF!</definedName>
    <definedName name="FGSAL">#REF!</definedName>
    <definedName name="FILE">#REF!</definedName>
    <definedName name="fin">#REF!</definedName>
    <definedName name="final">#REF!</definedName>
    <definedName name="final_contra">#REF!</definedName>
    <definedName name="FINAL_CTO">NA()</definedName>
    <definedName name="FINAL_IVA">NA()</definedName>
    <definedName name="final_sop">#REF!</definedName>
    <definedName name="final_sop2">#REF!</definedName>
    <definedName name="FINAL_SOPORTE">NA()</definedName>
    <definedName name="FINANCE___CARRYING_COSTS">#REF!</definedName>
    <definedName name="finc">#REF!</definedName>
    <definedName name="FinCta">NA()</definedName>
    <definedName name="FINISH">#REF!</definedName>
    <definedName name="First_Floor_Ht">#REF!</definedName>
    <definedName name="First_Floor_Struct_Area">#REF!</definedName>
    <definedName name="Floor_Deck_Area">#REF!</definedName>
    <definedName name="Floors">#REF!</definedName>
    <definedName name="FORM_GEN_L">#REF!</definedName>
    <definedName name="FORM_SPEC">#REF!</definedName>
    <definedName name="Format">#REF!</definedName>
    <definedName name="FR">#REF!</definedName>
    <definedName name="FreeRent">#REF!</definedName>
    <definedName name="fring">#REF!</definedName>
    <definedName name="FS">#REF!</definedName>
    <definedName name="FSCM">#REF!</definedName>
    <definedName name="FSFM">#REF!</definedName>
    <definedName name="FSGF">#REF!</definedName>
    <definedName name="FSLM">#REF!</definedName>
    <definedName name="FSR">#REF!</definedName>
    <definedName name="FSSAL">#REF!</definedName>
    <definedName name="g" hidden="1">{"SCHEDULE",#N/A,FALSE,"Fin_sched"}</definedName>
    <definedName name="G_Slab_System">#REF!</definedName>
    <definedName name="gbGSF">#REF!</definedName>
    <definedName name="gcbdsf">#REF!</definedName>
    <definedName name="gcgsf">#REF!</definedName>
    <definedName name="GCLim">#REF!</definedName>
    <definedName name="GCOrig">#REF!</definedName>
    <definedName name="GCS">#REF!</definedName>
    <definedName name="GCSAUD">#REF!</definedName>
    <definedName name="GEN_CRIT">#REF!</definedName>
    <definedName name="GENERADOR2">#REF!</definedName>
    <definedName name="GENERAL">#REF!</definedName>
    <definedName name="ggg">#REF!</definedName>
    <definedName name="gggsssff">#REF!</definedName>
    <definedName name="ggsf">#REF!</definedName>
    <definedName name="GRAND">#REF!</definedName>
    <definedName name="GRAVEL">#REF!</definedName>
    <definedName name="Gross_Square_Footage">#REF!</definedName>
    <definedName name="gsf">#REF!</definedName>
    <definedName name="gsog">#REF!</definedName>
    <definedName name="hard">#REF!</definedName>
    <definedName name="hbGSF">#REF!</definedName>
    <definedName name="Header">#REF!</definedName>
    <definedName name="HECM">#REF!</definedName>
    <definedName name="HEFM">#REF!</definedName>
    <definedName name="HEGF">#REF!</definedName>
    <definedName name="HELM">#REF!</definedName>
    <definedName name="HESAL">#REF!</definedName>
    <definedName name="HIGHER">#REF!</definedName>
    <definedName name="HOME">#REF!</definedName>
    <definedName name="honorarios">#REF!</definedName>
    <definedName name="HVAC">#REF!</definedName>
    <definedName name="HX">#REF!</definedName>
    <definedName name="HXR">#REF!</definedName>
    <definedName name="i">#REF!</definedName>
    <definedName name="IC">#REF!</definedName>
    <definedName name="idania">#REF!</definedName>
    <definedName name="iii">#REF!</definedName>
    <definedName name="Impermeabilización">#REF!</definedName>
    <definedName name="ImporteAnticipo">#REF!</definedName>
    <definedName name="imss">#REF!</definedName>
    <definedName name="indice">#REF!</definedName>
    <definedName name="INDIRECTOS">#REF!</definedName>
    <definedName name="Indirects">#REF!</definedName>
    <definedName name="infonavit">#REF!</definedName>
    <definedName name="INI">NA()</definedName>
    <definedName name="InicioCostoDirecto">#REF!</definedName>
    <definedName name="INPUT">#REF!</definedName>
    <definedName name="IVA">#REF!</definedName>
    <definedName name="jardin">#REF!</definedName>
    <definedName name="JE">#REF!</definedName>
    <definedName name="jjj">#REF!</definedName>
    <definedName name="JUNK" hidden="1">{"SCHEDULE",#N/A,FALSE,"Fin_sched"}</definedName>
    <definedName name="JUNK2" hidden="1">{"SUMMARY",#N/A,FALSE,"Fin_sched"}</definedName>
    <definedName name="kllku">#REF!</definedName>
    <definedName name="kohlerinternal">#REF!</definedName>
    <definedName name="Land">#REF!</definedName>
    <definedName name="LandArea">#REF!</definedName>
    <definedName name="LeaseUpInterest">#REF!</definedName>
    <definedName name="LeaseUpOEX">#REF!</definedName>
    <definedName name="LeaseUpPeriod">#REF!</definedName>
    <definedName name="LeaseUpStart">#REF!</definedName>
    <definedName name="LICAUD">#REF!</definedName>
    <definedName name="LICENCIA">#REF!</definedName>
    <definedName name="LILI1">#REF!</definedName>
    <definedName name="LILI2">#REF!</definedName>
    <definedName name="linda">#REF!</definedName>
    <definedName name="LINE">#REF!</definedName>
    <definedName name="LineRate">#REF!</definedName>
    <definedName name="LIST">#REF!</definedName>
    <definedName name="List_AuthorizationType">#REF!</definedName>
    <definedName name="List_ContractForm">#REF!</definedName>
    <definedName name="List_DBRole">#REF!</definedName>
    <definedName name="List_FeeBasis">#REF!</definedName>
    <definedName name="List_ProfitImpact">#REF!</definedName>
    <definedName name="List_YesNo">#REF!</definedName>
    <definedName name="lista">#REF!</definedName>
    <definedName name="Lista_Final">#REF!</definedName>
    <definedName name="LLLL">#REF!</definedName>
    <definedName name="LOC">#REF!</definedName>
    <definedName name="Louvers" hidden="1">{#N/A,#N/A,FALSE,"Division 08-2";#N/A,#N/A,FALSE,"Division 03-5";#N/A,#N/A,FALSE,"Division 03-4";#N/A,#N/A,FALSE,"Division 03-3";#N/A,#N/A,FALSE,"Division 03-2";#N/A,#N/A,FALSE,"Division 03-1";#N/A,#N/A,FALSE,"Division 02-9";#N/A,#N/A,FALSE,"Division 02-8";#N/A,#N/A,FALSE,"Division 02-7";#N/A,#N/A,FALSE,"Division 02-6";#N/A,#N/A,FALSE,"Division 02-5";#N/A,#N/A,FALSE,"Division 02-4";#N/A,#N/A,FALSE,"Division 02-3";#N/A,#N/A,FALSE,"Division 02-2";#N/A,#N/A,FALSE,"Division 02-1"}</definedName>
    <definedName name="LOWER">#REF!</definedName>
    <definedName name="lstQuoteType" hidden="1">#REF!</definedName>
    <definedName name="lt">#REF!</definedName>
    <definedName name="MACHX">#REF!</definedName>
    <definedName name="mailcontacto">#REF!</definedName>
    <definedName name="mailvendedor">#REF!</definedName>
    <definedName name="MAIN">#REF!</definedName>
    <definedName name="MAT">#REF!</definedName>
    <definedName name="material">#REF!</definedName>
    <definedName name="MATRIX">#REF!</definedName>
    <definedName name="MB">#REF!</definedName>
    <definedName name="MBCM">#REF!</definedName>
    <definedName name="MBFM">#REF!</definedName>
    <definedName name="MBGF">#REF!</definedName>
    <definedName name="MBLM">#REF!</definedName>
    <definedName name="MBR">#REF!</definedName>
    <definedName name="MBSAL">#REF!</definedName>
    <definedName name="MC">#REF!</definedName>
    <definedName name="MECM">#REF!</definedName>
    <definedName name="MEFM">#REF!</definedName>
    <definedName name="MEGF">#REF!</definedName>
    <definedName name="MELM">#REF!</definedName>
    <definedName name="MEP">#REF!</definedName>
    <definedName name="MESAL">#REF!</definedName>
    <definedName name="Mgmt">#REF!</definedName>
    <definedName name="mgsf">#REF!</definedName>
    <definedName name="miller2">#REF!</definedName>
    <definedName name="MillsDetail">#REF!</definedName>
    <definedName name="min">#REF!</definedName>
    <definedName name="minmos">#REF!</definedName>
    <definedName name="minutagest">#REF!</definedName>
    <definedName name="mm">#REF!</definedName>
    <definedName name="mmm">#REF!</definedName>
    <definedName name="mo">#REF!</definedName>
    <definedName name="MonthlyOER">#REF!</definedName>
    <definedName name="MonthlyRent">#REF!</definedName>
    <definedName name="mt">#REF!</definedName>
    <definedName name="Multiplier">#REF!</definedName>
    <definedName name="MX">#REF!</definedName>
    <definedName name="MXR">#REF!</definedName>
    <definedName name="Nivel0">#REF!</definedName>
    <definedName name="nivel1">#REF!</definedName>
    <definedName name="nivel2">#REF!</definedName>
    <definedName name="nivel3">#REF!</definedName>
    <definedName name="nn">#REF!</definedName>
    <definedName name="NoBuildings">#REF!</definedName>
    <definedName name="nombrecliente">#REF!</definedName>
    <definedName name="nombredelaobra">#REF!</definedName>
    <definedName name="nombrevendedor">#REF!</definedName>
    <definedName name="NoOfTenants">#REF!</definedName>
    <definedName name="nSkip">8</definedName>
    <definedName name="numconvocatoria">#REF!</definedName>
    <definedName name="numerodeconcurso">#REF!</definedName>
    <definedName name="ñññ">#REF!</definedName>
    <definedName name="OccupMonth">#REF!</definedName>
    <definedName name="OccupPercentage">#REF!</definedName>
    <definedName name="OccupStart">#REF!</definedName>
    <definedName name="OERate">#REF!</definedName>
    <definedName name="oficinas">#REF!</definedName>
    <definedName name="OP">#REF!</definedName>
    <definedName name="opcion1">#REF!</definedName>
    <definedName name="OPCOST">#REF!</definedName>
    <definedName name="OPT2_DO_01_97">NA()</definedName>
    <definedName name="Other">#REF!</definedName>
    <definedName name="otros">#REF!</definedName>
    <definedName name="OUTPUT">#REF!</definedName>
    <definedName name="P">#REF!</definedName>
    <definedName name="PAGADO_GLOBAL">#REF!</definedName>
    <definedName name="parcialconletrasmon1">#REF!</definedName>
    <definedName name="parcialconletrasmon2">#REF!</definedName>
    <definedName name="parcialmon1">#REF!</definedName>
    <definedName name="parcialmon2">#REF!</definedName>
    <definedName name="Parking">#REF!</definedName>
    <definedName name="pcards">#REF!</definedName>
    <definedName name="PE">#REF!</definedName>
    <definedName name="PECM">#REF!</definedName>
    <definedName name="PEFM">#REF!</definedName>
    <definedName name="PEGF">#REF!</definedName>
    <definedName name="PELM">#REF!</definedName>
    <definedName name="per">#REF!</definedName>
    <definedName name="PercentOfRepl">#REF!</definedName>
    <definedName name="PERI">"PERIODO DEL     DE                      AL      DE                 DE 199     ."</definedName>
    <definedName name="PERIPHERAL_PARCEL_SALES">#REF!</definedName>
    <definedName name="PESAL">#REF!</definedName>
    <definedName name="PF">#REF!</definedName>
    <definedName name="PFCM">#REF!</definedName>
    <definedName name="PFFM">#REF!</definedName>
    <definedName name="PFGF">#REF!</definedName>
    <definedName name="PFLM">#REF!</definedName>
    <definedName name="PFR">#REF!</definedName>
    <definedName name="PFSAL">#REF!</definedName>
    <definedName name="pgsf">#REF!</definedName>
    <definedName name="plazocalculado">#REF!</definedName>
    <definedName name="plazoreal">#REF!</definedName>
    <definedName name="PM">#REF!</definedName>
    <definedName name="porcentajeivapresupuesto">#REF!</definedName>
    <definedName name="pp">#REF!</definedName>
    <definedName name="PR">#REF!</definedName>
    <definedName name="PRBY">#REF!</definedName>
    <definedName name="PrecioConLetra">#REF!</definedName>
    <definedName name="PrecioMatriz1">#REF!</definedName>
    <definedName name="PrecioMatriz2">#REF!</definedName>
    <definedName name="PrecioTab">#REF!</definedName>
    <definedName name="PRECOAUD">#REF!</definedName>
    <definedName name="PRECOSN">#REF!</definedName>
    <definedName name="PrefDetail">#REF!</definedName>
    <definedName name="PREFIX">#REF!</definedName>
    <definedName name="presupuestado">#REF!</definedName>
    <definedName name="presupuestadofinal">#REF!</definedName>
    <definedName name="PresupuestoResumido">#REF!</definedName>
    <definedName name="primeramoneda">#REF!</definedName>
    <definedName name="Print_Area">#REF!</definedName>
    <definedName name="PRINT_AREA_MI">#REF!</definedName>
    <definedName name="PRINT_TITLES_MI">#REF!</definedName>
    <definedName name="PriorDate">#REF!</definedName>
    <definedName name="PROD">#REF!</definedName>
    <definedName name="Product">#REF!</definedName>
    <definedName name="PROJ">#REF!</definedName>
    <definedName name="ProjectName">#REF!</definedName>
    <definedName name="ProjectNumber">#REF!</definedName>
    <definedName name="ProjectStart">#REF!</definedName>
    <definedName name="proye">#REF!</definedName>
    <definedName name="PT">#REF!</definedName>
    <definedName name="Puente">#REF!</definedName>
    <definedName name="PUMP_CY">#REF!</definedName>
    <definedName name="PUMP_HR">#REF!</definedName>
    <definedName name="Q">#REF!</definedName>
    <definedName name="RangoDatosEncabezado">#REF!</definedName>
    <definedName name="RangoDescripcionMatriz">#REF!</definedName>
    <definedName name="RangoSoloDatos">#REF!</definedName>
    <definedName name="RangoTipo1">#REF!</definedName>
    <definedName name="RangoTipo2">#REF!</definedName>
    <definedName name="RangoTipo3">#REF!</definedName>
    <definedName name="RangoTipo4">#REF!</definedName>
    <definedName name="RangoTipo5">#REF!</definedName>
    <definedName name="RangoTipo6">#REF!</definedName>
    <definedName name="RangoTipo7">#REF!</definedName>
    <definedName name="RangoTipo8">#REF!</definedName>
    <definedName name="RangoTipo9">#REF!</definedName>
    <definedName name="RangoTipoOtros">#REF!</definedName>
    <definedName name="RangoTitulosARepetir">#REF!</definedName>
    <definedName name="RawData">#REF!</definedName>
    <definedName name="razonsocial">#REF!</definedName>
    <definedName name="re">#REF!</definedName>
    <definedName name="REAL_ESTATE_TAXES">#REF!</definedName>
    <definedName name="REBAR">#REF!</definedName>
    <definedName name="REC">#REF!</definedName>
    <definedName name="RECAP">#REF!</definedName>
    <definedName name="Release">#REF!</definedName>
    <definedName name="remateprimeramoneda">#REF!</definedName>
    <definedName name="rematesegundamoneda">#REF!</definedName>
    <definedName name="RenglonPresupuesto">#REF!</definedName>
    <definedName name="RentRate">#REF!</definedName>
    <definedName name="RentStart">#REF!</definedName>
    <definedName name="ReplCost">#REF!</definedName>
    <definedName name="ReplCostpsf">#REF!</definedName>
    <definedName name="RER">#REF!</definedName>
    <definedName name="residencial">#REF!</definedName>
    <definedName name="responsable">#REF!</definedName>
    <definedName name="responsabledelaobra">#REF!</definedName>
    <definedName name="RESUMEN_DREN">#REF!</definedName>
    <definedName name="revs">#REF!</definedName>
    <definedName name="REWRWR">#REF!</definedName>
    <definedName name="rfc">#REF!</definedName>
    <definedName name="rff">#REF!</definedName>
    <definedName name="RGDD" hidden="1">#REF!</definedName>
    <definedName name="rgsf">#REF!</definedName>
    <definedName name="rinstl">#REF!</definedName>
    <definedName name="RISK">#REF!</definedName>
    <definedName name="RISK_MAC">#REF!</definedName>
    <definedName name="RISKMAC">#REF!</definedName>
    <definedName name="rmatl">#REF!</definedName>
    <definedName name="rngAddonDetail" hidden="1">#REF!</definedName>
    <definedName name="rngBeckColumn" hidden="1">#REF!</definedName>
    <definedName name="rngCircularFormulas" hidden="1">#REF!,#REF!</definedName>
    <definedName name="rngCostDetail" hidden="1">#REF!</definedName>
    <definedName name="rngHeader" hidden="1">#REF!</definedName>
    <definedName name="rngHideBidTab" hidden="1">#REF!</definedName>
    <definedName name="rngInputArea" hidden="1">#REF!,#REF!</definedName>
    <definedName name="rngJobSize" hidden="1">#REF!</definedName>
    <definedName name="rngJobSizeUnit" hidden="1">#REF!</definedName>
    <definedName name="rngPivotColumns" hidden="1">#REF!</definedName>
    <definedName name="rngProjectName" hidden="1">#REF!</definedName>
    <definedName name="rngReportDate" hidden="1">#REF!</definedName>
    <definedName name="rngResetSubsRange" hidden="1">#REF!</definedName>
    <definedName name="rngSelectedSub" hidden="1">#REF!</definedName>
    <definedName name="rngSelectedSubOffset" hidden="1">#REF!</definedName>
    <definedName name="rngSF" hidden="1">#REF!</definedName>
    <definedName name="rngSFRow" hidden="1">#REF!</definedName>
    <definedName name="rngShowBackground" hidden="1">#REF!</definedName>
    <definedName name="rngSubs" hidden="1">#REF!</definedName>
    <definedName name="rngSubtotal" hidden="1">#REF!</definedName>
    <definedName name="rngSubtotals" hidden="1">#REF!</definedName>
    <definedName name="rngTotal" hidden="1">#REF!</definedName>
    <definedName name="rngTotal_Unassigned" hidden="1">#REF!</definedName>
    <definedName name="rngTotalColumn" hidden="1">#REF!</definedName>
    <definedName name="rngTotals" hidden="1">#REF!</definedName>
    <definedName name="rocio">#REF!</definedName>
    <definedName name="RON">#REF!</definedName>
    <definedName name="Roof_Deck_Area">#REF!</definedName>
    <definedName name="RR">#REF!</definedName>
    <definedName name="rrr">#REF!</definedName>
    <definedName name="RRWE">#REF!</definedName>
    <definedName name="rsfew">#REF!</definedName>
    <definedName name="rtgxxx">#REF!</definedName>
    <definedName name="s">#REF!</definedName>
    <definedName name="SADD" comment="Tipo">#REF!</definedName>
    <definedName name="SAND">#REF!</definedName>
    <definedName name="SAVE">#REF!</definedName>
    <definedName name="SC">#REF!</definedName>
    <definedName name="SCC">#REF!</definedName>
    <definedName name="SCH">#REF!</definedName>
    <definedName name="sdf">#REF!</definedName>
    <definedName name="sdfbssfaveca">#REF!</definedName>
    <definedName name="sdfff">#REF!</definedName>
    <definedName name="SE">#REF!</definedName>
    <definedName name="SECCINES">#REF!</definedName>
    <definedName name="secciones">#REF!</definedName>
    <definedName name="segundamoneda">#REF!</definedName>
    <definedName name="SELEC">#REF!</definedName>
    <definedName name="selec1">#REF!</definedName>
    <definedName name="selec11">#REF!</definedName>
    <definedName name="selec12">#REF!</definedName>
    <definedName name="selec2">#REF!</definedName>
    <definedName name="selec3">#REF!</definedName>
    <definedName name="selec4">#REF!</definedName>
    <definedName name="selec5">#REF!</definedName>
    <definedName name="SELEC6">#REF!</definedName>
    <definedName name="SELEC7">#REF!</definedName>
    <definedName name="SELECC">#REF!</definedName>
    <definedName name="ser">#REF!</definedName>
    <definedName name="Servicios">#REF!</definedName>
    <definedName name="sfew">#REF!</definedName>
    <definedName name="sfew1">#REF!</definedName>
    <definedName name="sfew34">#REF!</definedName>
    <definedName name="sfew35">#REF!</definedName>
    <definedName name="sfew9">#REF!</definedName>
    <definedName name="sfgrrrr">#REF!</definedName>
    <definedName name="sgee">#REF!</definedName>
    <definedName name="Shear_Wall_Length">#REF!</definedName>
    <definedName name="Shear_Wall_Thickness">#REF!</definedName>
    <definedName name="SHELL___COMMON_AREA_CONSTRUCTION">#REF!</definedName>
    <definedName name="shutter">#REF!</definedName>
    <definedName name="SIMON">#REF!</definedName>
    <definedName name="SIO">#REF!</definedName>
    <definedName name="site">#REF!</definedName>
    <definedName name="SIV">#REF!</definedName>
    <definedName name="Slab_System">#REF!</definedName>
    <definedName name="SOLICITUD">#REF!</definedName>
    <definedName name="SPECIALTY_TENANT_CONSTRUCTION">#REF!</definedName>
    <definedName name="SQSQS">#REF!</definedName>
    <definedName name="SquareFootage">#REF!</definedName>
    <definedName name="srtttt">#REF!</definedName>
    <definedName name="ss">#REF!</definedName>
    <definedName name="SSDED">#REF!</definedName>
    <definedName name="SSS">#REF!</definedName>
    <definedName name="ssss">#REF!</definedName>
    <definedName name="SSSSS">#REF!</definedName>
    <definedName name="StabilizedBaseRent">#REF!</definedName>
    <definedName name="StabilizedNOI">#REF!</definedName>
    <definedName name="StabilizedPercentage">#REF!</definedName>
    <definedName name="staff">#REF!</definedName>
    <definedName name="start">IF(#REF!&gt;0,IF(#REF!,#REF!-#REF!,"enter occ. date"),"unused")</definedName>
    <definedName name="StartDate">#REF!</definedName>
    <definedName name="status">#REF!</definedName>
    <definedName name="status2">#REF!</definedName>
    <definedName name="status3">#REF!</definedName>
    <definedName name="status4">#REF!</definedName>
    <definedName name="STR">#REF!</definedName>
    <definedName name="SuiteArea">#REF!</definedName>
    <definedName name="sum">#REF!</definedName>
    <definedName name="suma1">#REF!</definedName>
    <definedName name="suma2">#REF!</definedName>
    <definedName name="SumaAmortizaciones">#REF!</definedName>
    <definedName name="SumaEstimaciones">#REF!</definedName>
    <definedName name="SUMM">#REF!</definedName>
    <definedName name="Summary">#REF!</definedName>
    <definedName name="Susp_Slab_Depth">#REF!</definedName>
    <definedName name="Susp_Struct_Area">#REF!</definedName>
    <definedName name="SYS">#REF!</definedName>
    <definedName name="t" hidden="1">{"SUMMARY",#N/A,FALSE,"Fin_sched"}</definedName>
    <definedName name="Tablaroca" comment="Tipo">#REF!</definedName>
    <definedName name="Table1">#REF!</definedName>
    <definedName name="Taxes">#REF!</definedName>
    <definedName name="TaxRate">#REF!</definedName>
    <definedName name="TBUD">#REF!</definedName>
    <definedName name="TC">#REF!</definedName>
    <definedName name="TCG">#REF!</definedName>
    <definedName name="TE">#REF!</definedName>
    <definedName name="TEL">#REF!</definedName>
    <definedName name="telefono">#REF!</definedName>
    <definedName name="telefonocliente">#REF!</definedName>
    <definedName name="telefonocontacto">#REF!</definedName>
    <definedName name="telefonodelaobra">#REF!</definedName>
    <definedName name="Teléfonos">#REF!</definedName>
    <definedName name="telefonovendedor">#REF!</definedName>
    <definedName name="TENANT">#REF!</definedName>
    <definedName name="TEST">#REF!</definedName>
    <definedName name="TEST0">#REF!</definedName>
    <definedName name="TESTHKEY">#REF!</definedName>
    <definedName name="TESTKEYS">#REF!</definedName>
    <definedName name="TESTVKEY">#REF!</definedName>
    <definedName name="TF">#REF!</definedName>
    <definedName name="TI">#REF!</definedName>
    <definedName name="TICost">#REF!</definedName>
    <definedName name="tiempo">#REF!</definedName>
    <definedName name="TIMonthlyTotal">#REF!</definedName>
    <definedName name="TIPO">#REF!</definedName>
    <definedName name="tipodelicitacion">#REF!</definedName>
    <definedName name="TipoMatriz">#REF!</definedName>
    <definedName name="TIRate">#REF!</definedName>
    <definedName name="TITLE">#REF!</definedName>
    <definedName name="TITULOS">#N/A</definedName>
    <definedName name="_xlnm.Print_Titles">#REF!</definedName>
    <definedName name="tlllu">#REF!</definedName>
    <definedName name="TM">NA()</definedName>
    <definedName name="TOBY">#REF!</definedName>
    <definedName name="Todo">#REF!</definedName>
    <definedName name="TOTAL">#REF!</definedName>
    <definedName name="total1">#REF!</definedName>
    <definedName name="TotalConstCost">#REF!</definedName>
    <definedName name="TotalCostBasis">#REF!</definedName>
    <definedName name="TotalDevCostBasis">#REF!</definedName>
    <definedName name="TOTALES">#REF!</definedName>
    <definedName name="TotalImporte1Tipo1">#REF!</definedName>
    <definedName name="TotalImporte1Tipo2">#REF!</definedName>
    <definedName name="TotalImporte1Tipo3">#REF!</definedName>
    <definedName name="TotalImporte1Tipo4">#REF!</definedName>
    <definedName name="TotalImporte1Tipo5">#REF!</definedName>
    <definedName name="TotalImporte1Tipo6">#REF!</definedName>
    <definedName name="TotalImporte1Tipo7">#REF!</definedName>
    <definedName name="TotalImporte1Tipo8">#REF!</definedName>
    <definedName name="TotalImporte1Tipo9">#REF!</definedName>
    <definedName name="TotalImporte1TipoOtros">#REF!</definedName>
    <definedName name="TotalImporte2Tipo1">#REF!</definedName>
    <definedName name="TotalImporte2Tipo2">#REF!</definedName>
    <definedName name="TotalImporte2Tipo3">#REF!</definedName>
    <definedName name="TotalImporte2Tipo4">#REF!</definedName>
    <definedName name="TotalImporte2Tipo5">#REF!</definedName>
    <definedName name="TotalImporte2Tipo6">#REF!</definedName>
    <definedName name="TotalImporte2Tipo7">#REF!</definedName>
    <definedName name="TotalImporte2Tipo8">#REF!</definedName>
    <definedName name="TotalImporte2Tipo9">#REF!</definedName>
    <definedName name="TotalImporte2TipoOtros">#REF!</definedName>
    <definedName name="TotalMonthCapInt">#REF!</definedName>
    <definedName name="TotalMonthComm">#REF!</definedName>
    <definedName name="TotalMonthOccup">#REF!</definedName>
    <definedName name="TotalMonthOccupInt">#REF!</definedName>
    <definedName name="TotalMonthRent">#REF!</definedName>
    <definedName name="TotalMonthTI">#REF!</definedName>
    <definedName name="TotalPorcentaje1Tipo1">#REF!</definedName>
    <definedName name="TotalPorcentaje1Tipo2">#REF!</definedName>
    <definedName name="TotalPorcentaje1Tipo3">#REF!</definedName>
    <definedName name="TotalPorcentaje1Tipo4">#REF!</definedName>
    <definedName name="TotalPorcentaje1Tipo5">#REF!</definedName>
    <definedName name="TotalPorcentaje1Tipo6">#REF!</definedName>
    <definedName name="TotalPorcentaje1Tipo7">#REF!</definedName>
    <definedName name="TotalPorcentaje1Tipo8">#REF!</definedName>
    <definedName name="TotalPorcentaje1Tipo9">#REF!</definedName>
    <definedName name="TotalPorcentaje1TipoOtros">#REF!</definedName>
    <definedName name="TotalPorcentaje2Tipo1">#REF!</definedName>
    <definedName name="TotalPorcentaje2Tipo2">#REF!</definedName>
    <definedName name="TotalPorcentaje2Tipo3">#REF!</definedName>
    <definedName name="TotalPorcentaje2Tipo4">#REF!</definedName>
    <definedName name="TotalPorcentaje2Tipo5">#REF!</definedName>
    <definedName name="TotalPorcentaje2Tipo6">#REF!</definedName>
    <definedName name="TotalPorcentaje2Tipo7">#REF!</definedName>
    <definedName name="TotalPorcentaje2Tipo8">#REF!</definedName>
    <definedName name="TotalPorcentaje2Tipo9">#REF!</definedName>
    <definedName name="TotalPorcentaje2TipoOtros">#REF!</definedName>
    <definedName name="totalpresupuestoprimeramoneda">#REF!</definedName>
    <definedName name="totalpresupuestosegundamoneda">#REF!</definedName>
    <definedName name="TotalTI">#REF!</definedName>
    <definedName name="TotalTipo1">#REF!</definedName>
    <definedName name="TotalTipo2">#REF!</definedName>
    <definedName name="TotalTipo3">#REF!</definedName>
    <definedName name="TotalTipo4">#REF!</definedName>
    <definedName name="TotalTipoOtros">#REF!</definedName>
    <definedName name="TRACTOR">#REF!</definedName>
    <definedName name="TroncE1">#REF!</definedName>
    <definedName name="ttttff">#REF!</definedName>
    <definedName name="ttytrree">#REF!</definedName>
    <definedName name="tuliopazbaralt" hidden="1">#REF!</definedName>
    <definedName name="Typ_Floor_Area">#REF!</definedName>
    <definedName name="Typ_Floor_Ht">#REF!</definedName>
    <definedName name="Typ_Level_Count">#REF!</definedName>
    <definedName name="ullluuuuu">#REF!</definedName>
    <definedName name="UnidadMatriz">#REF!</definedName>
    <definedName name="units34">#REF!</definedName>
    <definedName name="units9">#REF!</definedName>
    <definedName name="UPS">#REF!</definedName>
    <definedName name="uuu">#REF!</definedName>
    <definedName name="varios">#REF!</definedName>
    <definedName name="vender17">#REF!</definedName>
    <definedName name="vender18">#REF!</definedName>
    <definedName name="vender19">#REF!</definedName>
    <definedName name="vender20">#REF!</definedName>
    <definedName name="vender25">#REF!</definedName>
    <definedName name="Vendor1">#REF!</definedName>
    <definedName name="vendor10">#REF!</definedName>
    <definedName name="vendor11">#REF!</definedName>
    <definedName name="vendor12">#REF!</definedName>
    <definedName name="vendor13">#REF!</definedName>
    <definedName name="vendor14">#REF!</definedName>
    <definedName name="vendor15">#REF!</definedName>
    <definedName name="vendor16">#REF!</definedName>
    <definedName name="vendor17">#REF!</definedName>
    <definedName name="vendor18">#REF!</definedName>
    <definedName name="vendor19">#REF!</definedName>
    <definedName name="vendor2">#REF!</definedName>
    <definedName name="vendor20">#REF!</definedName>
    <definedName name="vendor21">#REF!</definedName>
    <definedName name="vendor22">#REF!</definedName>
    <definedName name="vendor23">#REF!</definedName>
    <definedName name="vendor24">#REF!</definedName>
    <definedName name="vendor25">#REF!</definedName>
    <definedName name="vendor26">#REF!</definedName>
    <definedName name="vendor27">#REF!</definedName>
    <definedName name="vendor28">#REF!</definedName>
    <definedName name="vendor29">#REF!</definedName>
    <definedName name="vendor3">#REF!</definedName>
    <definedName name="vendor30">#REF!</definedName>
    <definedName name="vendor31">#REF!</definedName>
    <definedName name="vendor32">#REF!</definedName>
    <definedName name="vendor33">#REF!</definedName>
    <definedName name="vendor34">#REF!</definedName>
    <definedName name="vendor35">#REF!</definedName>
    <definedName name="vendor36">#REF!</definedName>
    <definedName name="vendor37">#REF!</definedName>
    <definedName name="vendor38">#REF!</definedName>
    <definedName name="vendor39">#REF!</definedName>
    <definedName name="vendor4">#REF!</definedName>
    <definedName name="vendor40">#REF!</definedName>
    <definedName name="vendor41">#REF!</definedName>
    <definedName name="vendor42">#REF!</definedName>
    <definedName name="vendor43">#REF!</definedName>
    <definedName name="vendor44">#REF!</definedName>
    <definedName name="vendor45">#REF!</definedName>
    <definedName name="vendor46">#REF!</definedName>
    <definedName name="vendor47">#REF!</definedName>
    <definedName name="vendor48">#REF!</definedName>
    <definedName name="vendor49">#REF!</definedName>
    <definedName name="vendor5">#REF!</definedName>
    <definedName name="vendor50">#REF!</definedName>
    <definedName name="vendor51">#REF!</definedName>
    <definedName name="vendor52">#REF!</definedName>
    <definedName name="vendor53">#REF!</definedName>
    <definedName name="vendor54">#REF!</definedName>
    <definedName name="vendor55">#REF!</definedName>
    <definedName name="vendor6">#REF!</definedName>
    <definedName name="vol">#REF!</definedName>
    <definedName name="VolumenPresupuesto">#REF!</definedName>
    <definedName name="vv">#REF!</definedName>
    <definedName name="w" hidden="1">{"SUMMARY",#N/A,FALSE,"Fin_sched"}</definedName>
    <definedName name="wagner">#REF!</definedName>
    <definedName name="wdf">#REF!</definedName>
    <definedName name="wrn.2nd._.Year." hidden="1">{#N/A,#N/A,TRUE,"CF Yr2";#N/A,#N/A,TRUE,"Rent Roll";#N/A,#N/A,TRUE,"Rent Yr2";#N/A,#N/A,TRUE,"Occ Yr2";#N/A,#N/A,TRUE,"TI+Com Yr2";#N/A,#N/A,TRUE,"OER Yr2";#N/A,#N/A,TRUE,"OE Yr2"}</definedName>
    <definedName name="wrn.3rd._.Year." hidden="1">{#N/A,#N/A,FALSE,"CF Yr3";#N/A,#N/A,FALSE,"Rent Roll";#N/A,#N/A,FALSE,"Rent Yr3";#N/A,#N/A,FALSE,"Occ Yr3";#N/A,#N/A,FALSE,"TI+Com Yr3";#N/A,#N/A,FALSE,"OER Yr3";#N/A,#N/A,FALSE,"OE Yr3"}</definedName>
    <definedName name="wrn.Cost._.Schedules." hidden="1">{#N/A,#N/A,TRUE,"CNST SCHD";#N/A,#N/A,TRUE,"TI SCHD";#N/A,#N/A,TRUE,"COM SCHD";#N/A,#N/A,TRUE,"LU INT-FFO SCHD"}</definedName>
    <definedName name="wrn.DIVISIONS." hidden="1">{#N/A,#N/A,FALSE,"Division 08-2";#N/A,#N/A,FALSE,"Division 03-5";#N/A,#N/A,FALSE,"Division 03-4";#N/A,#N/A,FALSE,"Division 03-3";#N/A,#N/A,FALSE,"Division 03-2";#N/A,#N/A,FALSE,"Division 03-1";#N/A,#N/A,FALSE,"Division 02-9";#N/A,#N/A,FALSE,"Division 02-8";#N/A,#N/A,FALSE,"Division 02-7";#N/A,#N/A,FALSE,"Division 02-6";#N/A,#N/A,FALSE,"Division 02-5";#N/A,#N/A,FALSE,"Division 02-4";#N/A,#N/A,FALSE,"Division 02-3";#N/A,#N/A,FALSE,"Division 02-2";#N/A,#N/A,FALSE,"Division 02-1"}</definedName>
    <definedName name="wrn.DIVISONS." hidden="1">{#N/A,#N/A,FALSE,"Division 17";#N/A,#N/A,FALSE,"Division 16";#N/A,#N/A,FALSE,"Division 15-3";#N/A,#N/A,FALSE,"Division 15-2";#N/A,#N/A,FALSE,"Division 15-1";#N/A,#N/A,FALSE,"Division 14";#N/A,#N/A,FALSE,"Division 11-2";#N/A,#N/A,FALSE,"Division 11-1";#N/A,#N/A,FALSE,"Division 10 (2)";#N/A,#N/A,FALSE,"Division 10";#N/A,#N/A,FALSE,"Division 09-5";#N/A,#N/A,FALSE,"Division 09-4";#N/A,#N/A,FALSE,"Division 09-3";#N/A,#N/A,FALSE,"Division 09-2";#N/A,#N/A,FALSE,"Division 09-1";#N/A,#N/A,FALSE,"Division 08-2";#N/A,#N/A,FALSE,"Division 08-1";#N/A,#N/A,FALSE,"Division 07";#N/A,#N/A,FALSE,"Division 06";#N/A,#N/A,FALSE,"Division 05";#N/A,#N/A,FALSE,"Division 04";#N/A,#N/A,FALSE,"Division 03-5";#N/A,#N/A,FALSE,"Division 03-4";#N/A,#N/A,FALSE,"Division 03-3";#N/A,#N/A,FALSE,"Division 03-2";#N/A,#N/A,FALSE,"Division 03-1";#N/A,#N/A,FALSE,"Division 02-9";#N/A,#N/A,FALSE,"Division 02-8";#N/A,#N/A,FALSE,"Division 02-7";#N/A,#N/A,FALSE,"Division 02-6";#N/A,#N/A,FALSE,"Division 02-5";#N/A,#N/A,FALSE,"Division 02-4";#N/A,#N/A,FALSE,"Division 02-3";#N/A,#N/A,FALSE,"Division 02-2";#N/A,#N/A,FALSE,"Division 02-1";#N/A,#N/A,FALSE,"Division 02-1"}</definedName>
    <definedName name="wrn.Input._.Assumption._.Sheets." hidden="1">{#N/A,#N/A,TRUE,"inp. genl.";#N/A,#N/A,TRUE,"inp. cnst. cost";#N/A,#N/A,TRUE,"inp. lease-up";#N/A,#N/A,TRUE,"inp. exp."}</definedName>
    <definedName name="wrn.Ist._.Year." hidden="1">{#N/A,#N/A,FALSE,"CF Yr1";#N/A,#N/A,FALSE,"Rent Roll";#N/A,#N/A,FALSE,"Rent Yr1";#N/A,#N/A,FALSE,"Occ Yr1";#N/A,#N/A,FALSE,"TI+Com Yr1";#N/A,#N/A,FALSE,"OER Yr1";#N/A,#N/A,FALSE,"OE Yr1"}</definedName>
    <definedName name="wrn.Leasing._.Variance." hidden="1">{#N/A,#N/A,FALSE,"Leasing 6A"}</definedName>
    <definedName name="wrn.monthly._.financial." hidden="1">{#N/A,#N/A,FALSE,"SUMMARY 4a";#N/A,#N/A,FALSE,"GBA 4b";#N/A,#N/A,FALSE,"TENANT 4c";#N/A,#N/A,FALSE,"BUDGET DETAIL";#N/A,#N/A,FALSE,"PRO FORMA"}</definedName>
    <definedName name="wrn.Revenue._.Schedules." hidden="1">{#N/A,#N/A,TRUE,"RENT SCHD";#N/A,#N/A,TRUE,"OER SCHD"}</definedName>
    <definedName name="wrn.SCHEDULE." hidden="1">{"SCHEDULE",#N/A,FALSE,"Fin_sched"}</definedName>
    <definedName name="wrn.SUMMARY." hidden="1">{"SUMMARY",#N/A,FALSE,"Fin_sched"}</definedName>
    <definedName name="wrn.Summary._.Sheet._.Only." hidden="1">{#N/A,#N/A,FALSE,"SUMMARY"}</definedName>
    <definedName name="wrn.Summary._.w._.All._.Back._.Up." hidden="1">{#N/A,#N/A,TRUE,"SUMMARY";#N/A,#N/A,TRUE,"CNST SCHD";#N/A,#N/A,TRUE,"TI SCHD";#N/A,#N/A,TRUE,"COM SCHD";#N/A,#N/A,TRUE,"LU INT-FFO SCHD";#N/A,#N/A,TRUE,"OCCUP";#N/A,#N/A,TRUE,"RENT SCHD";#N/A,#N/A,TRUE,"OER SCHD"}</definedName>
    <definedName name="wrss">#REF!</definedName>
    <definedName name="WTR">#REF!</definedName>
    <definedName name="ww">#REF!</definedName>
    <definedName name="www">#REF!</definedName>
    <definedName name="X">#REF!</definedName>
    <definedName name="x7237x">#REF!</definedName>
    <definedName name="x7536x">#REF!</definedName>
    <definedName name="x7555x">#REF!</definedName>
    <definedName name="x7672x">#REF!</definedName>
    <definedName name="x7674x">#REF!</definedName>
    <definedName name="x7765x">#REF!</definedName>
    <definedName name="x7766x">#REF!</definedName>
    <definedName name="x8058x">#REF!</definedName>
    <definedName name="x8543x">#REF!</definedName>
    <definedName name="xBentleyx">#REF!</definedName>
    <definedName name="xexe">#REF!</definedName>
    <definedName name="xexex">#REF!</definedName>
    <definedName name="xkohlerx">#REF!</definedName>
    <definedName name="xx">#REF!</definedName>
    <definedName name="xxx">#REF!</definedName>
    <definedName name="y" hidden="1">{"SUMMARY",#N/A,FALSE,"Fin_sched"}</definedName>
    <definedName name="YIEL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9" i="22" l="1"/>
  <c r="O189" i="22"/>
  <c r="Q189" i="22"/>
</calcChain>
</file>

<file path=xl/sharedStrings.xml><?xml version="1.0" encoding="utf-8"?>
<sst xmlns="http://schemas.openxmlformats.org/spreadsheetml/2006/main" count="1668" uniqueCount="391">
  <si>
    <t>Proyecto:</t>
  </si>
  <si>
    <t>Fecha de Inicio</t>
  </si>
  <si>
    <t>Fecha de Termino</t>
  </si>
  <si>
    <t>Días Totales del Proyecto</t>
  </si>
  <si>
    <t>PROYECTO</t>
  </si>
  <si>
    <t>NIVEL</t>
  </si>
  <si>
    <t>SUBNIVEL</t>
  </si>
  <si>
    <t>FAMILIA</t>
  </si>
  <si>
    <t>SUBFAMILIA</t>
  </si>
  <si>
    <t>CLAVE</t>
  </si>
  <si>
    <t>CODIGO OPUS</t>
  </si>
  <si>
    <t>CONCEPTO</t>
  </si>
  <si>
    <t>UNIDAD</t>
  </si>
  <si>
    <t>CANTIDAD</t>
  </si>
  <si>
    <t>WBS</t>
  </si>
  <si>
    <t>AVANCE 01</t>
  </si>
  <si>
    <t>Fecha de Avance:</t>
  </si>
  <si>
    <t>Nombre:</t>
  </si>
  <si>
    <t>LLENA PM</t>
  </si>
  <si>
    <t>C.U. MO</t>
  </si>
  <si>
    <t>C.U.</t>
  </si>
  <si>
    <t>P.U.</t>
  </si>
  <si>
    <t>Costo MO Total</t>
  </si>
  <si>
    <t>Costo Total</t>
  </si>
  <si>
    <t>Importe</t>
  </si>
  <si>
    <t>Dias de Actividad</t>
  </si>
  <si>
    <t>Fecha Programada de Inicio</t>
  </si>
  <si>
    <t>Fecha Programada de Termino</t>
  </si>
  <si>
    <t>Semana Programada Inicio</t>
  </si>
  <si>
    <t>Semana Programada Termino</t>
  </si>
  <si>
    <t>Fecha Real de Inicio</t>
  </si>
  <si>
    <t>Fecha Real de Termino</t>
  </si>
  <si>
    <t>Semana Real Inicio</t>
  </si>
  <si>
    <t>Semana Real Termino</t>
  </si>
  <si>
    <t>Planeado</t>
  </si>
  <si>
    <t>Ejecutado</t>
  </si>
  <si>
    <t>Desface</t>
  </si>
  <si>
    <t>Importe Planeado</t>
  </si>
  <si>
    <t>Importe Ejecutado</t>
  </si>
  <si>
    <t>Importe Desfase</t>
  </si>
  <si>
    <t>AVANCE TOTAL</t>
  </si>
  <si>
    <t>CANTIDAD AVANCE 01</t>
  </si>
  <si>
    <t>PORCENTAJE DE AVANCE 01</t>
  </si>
  <si>
    <t>IMPORTE DE AVANCE 01</t>
  </si>
  <si>
    <t>I-CCASSVRF-1-4TR</t>
  </si>
  <si>
    <t>INSTALACION DE EQUIPOS</t>
  </si>
  <si>
    <t>INSTALACION CONDENSADORAS</t>
  </si>
  <si>
    <t>INSTALACION EVAPORADORAS</t>
  </si>
  <si>
    <t>DISTRIBUCION DE REFRIGERANTE</t>
  </si>
  <si>
    <t>CONEXION ELECTRICA Y TERMOSTATOS</t>
  </si>
  <si>
    <t>INSTALACION DE TERMOSTATOS</t>
  </si>
  <si>
    <t>TUBERIA DE COBRE</t>
  </si>
  <si>
    <t>MATERIAL ELECTRICO</t>
  </si>
  <si>
    <t>DISTRIBUCION DE AIRE</t>
  </si>
  <si>
    <t>DUCTERIA</t>
  </si>
  <si>
    <t>ACCESORIOS DE DUCTO</t>
  </si>
  <si>
    <t>REJILLAS, DIFUSORES Y COMPUERTAS</t>
  </si>
  <si>
    <t>INSTALACION VENTILADORES</t>
  </si>
  <si>
    <t>GENERAL</t>
  </si>
  <si>
    <t>M2</t>
  </si>
  <si>
    <t>DFFV-10</t>
  </si>
  <si>
    <t>DFFV-12</t>
  </si>
  <si>
    <t>DFFV-8</t>
  </si>
  <si>
    <t>DLI-3FTX2R-3/4IN</t>
  </si>
  <si>
    <t>DPQ-24X24-C10</t>
  </si>
  <si>
    <t>DPQ-24X24-C12</t>
  </si>
  <si>
    <t>DPQ-24X24-C6</t>
  </si>
  <si>
    <t>DPQ-24X24-C8</t>
  </si>
  <si>
    <t>DPQ-R-10</t>
  </si>
  <si>
    <t>DPQ-R-12</t>
  </si>
  <si>
    <t>DPQ-R-8</t>
  </si>
  <si>
    <t>HR-6X6</t>
  </si>
  <si>
    <t>HR-8X8</t>
  </si>
  <si>
    <t>I-FCVRFMA-1-4.5TR</t>
  </si>
  <si>
    <t>TUBERIAS Y CONEXIONES DE ACERO</t>
  </si>
  <si>
    <t>CONTROL Y AUTOMATIZACION</t>
  </si>
  <si>
    <t>INSTALACION MANEJADORAS</t>
  </si>
  <si>
    <t>TUBERIA DE ACERO</t>
  </si>
  <si>
    <t xml:space="preserve">SUM. E INST. DE DUCTO FLEXIBLE MCA. VERMONT DE 8" DE DIAM. PARA AIRE ACONDICIONADO CON 1" DE AISLAMIENTO Y RECUBRIM. DE ALUMINIO, INCL: ADAPTADORES Y TRANSFORMACIONES A LA SALIDA DE INYECCION DEL DUCTO DE LAMINA CON ABRAZADERAS, CREMALLERA, ELEMENTOS DE SUJECION, SELLADO, MATERIAL, M. DE O., HERRAM., EQUIPO, ACARREOS, FLETES, MANIOBRAS, ANDAMIOS, SOBRANTES, LIMPIEZA Y RETIRO DE DESPERDICIOS AL LUGAR DE TIRO AUTORIZADO. </t>
  </si>
  <si>
    <t>MTO</t>
  </si>
  <si>
    <t xml:space="preserve">SUM. E INST. DE DUCTO FLEXIBLE MCA. VERMONT DE 10" DE DIAM. PARA AIRE ACONDICIONADO CON 1" DE AISLAMIENTO Y RECUBRIM. DE ALUMINIO, I INCL: ADAPTADORES Y TRANSFORMACIONES A LA SALIDA DE INYECCION DEL DUCTO DE LAMINA CON ABRAZADERAS, CREMALLERA, ELEMENTOS DE SUJECION, SELLADO, MATERIAL, M. DE O., HERRAM., EQUIPO, ACARREOS, FLETES, MANIOBRAS, ANDAMIOS, SOBRANTES, LIMPIEZA Y RETIRO DE DESPERDICIOS AL LUGAR DE TIRO AUTORIZADO. </t>
  </si>
  <si>
    <t xml:space="preserve">SUM. E INST. DE DUCTO FLEXIBLE MCA. VERMONT DE 12" DE DIAM. PARA AIRE ACONDICIONADO CON 1" DE AISLAMIENTO Y RECUBRIM. DE ALUMINIO,  INCL: ADAPTADORES Y TRANSFORMACIONES A LA SALIDA DE INYECCION DEL DUCTO DE LAMINA CON ABRAZADERAS, CREMALLERA, ELEMENTOS DE SUJECION, SELLADO, MATERIAL, M. DE O., HERRAM., EQUIPO, ACARREOS, FLETES, MANIOBRAS, ANDAMIOS, SOBRANTES, LIMPIEZA Y RETIRO DE DESPERDICIOS AL LUGAR DE TIRO AUTORIZADO. </t>
  </si>
  <si>
    <t>BALANCEO-01</t>
  </si>
  <si>
    <t xml:space="preserve">BALANCEO DEL SISTEMA DE AIRE ACONDICIONADO CON ANEMOMETRO DE ACUERDO A PROYECTO, INCLUYE: SUPERVISION TECNICA, MATERIALES M. DE O., HERRAMIENTA, ANDAMIOS, EQ., CALIBRACIONES, AJUSTES Y TODO LO NECESARIO PARA LA CORRECTA EJECUCION DE LOS TRABAJOS. </t>
  </si>
  <si>
    <t>LE</t>
  </si>
  <si>
    <t>SUJECION-01</t>
  </si>
  <si>
    <t>SUJECION DE REJILLAS DE RETORNO E INYECCION CON ALAMBRE GALVANIZADO CAL.12 COLGADO A ESTRUCTURA DE CUBIERTA, EN CASO DE QUE ESTAS NO TENGAN PREPARACION PARA SU SUJECION, SE LE HARAN PERFORACIONES CON TALADRO, INCLUYE: MATERIALES, MANO DEOBRA, HERRAMIENTA Y EQUIPO Y TODO LO NECESARIO PARA SU CORRECTA EJECUCIÓN.</t>
  </si>
  <si>
    <t>DUCTOS01</t>
  </si>
  <si>
    <t>SUM. E INST. DE DUCTOS FABRICADOS CON DP3 DUCTAL, INCLUYE: PLACA DE ALUMINIO CON POLIURETANO HIDROTEC DE 20 MM, MARCA P3 PARA LA FABRICACION DE CUCTOS DE INYECCION, RETORNO Y EXTRACCION, ACCESORIOS TALES COMO CINTAS, PEGAMENTO, PEGAMENTO PARA PERFIL, TRAZO, CORTES, COLOCACION, ALINEACION, NIVELACION, CARGA Y ACARREO HORIZONTAL, ELEVACION A CULAQUIER NIVEL HASTA EL LUGAR DE LOS TRABAJOS DE LOS MATERIALES, HERRAMIENTAS, EQUIPOS QUE SE UTILICEN PARA LA EJECUCION, MERMAS Y DESPERDICIOS DERIVADOS DEL MANEJO Y/O TRASLADOS DE LOS MATERIALES HASTA EL LUGAR DE SU UTILIZACION, MANO DE OBRA, CARGO POR OPERACION, RENTA Y/O AMORTIZACION POR EL USO DE EQUIPO, ANDAMIAJE Y HERRAMIENTA, LIMPIEZA DIARIA DEL AREA DE TRABAJO Y TODO LO NECESARIO PARA LA CORRECTA EJECUCION DEL CONCEPTO.</t>
  </si>
  <si>
    <t>ACC-DUCT01</t>
  </si>
  <si>
    <t>SUM. E INST. DE ACCESORIOAS PARA DUCTO MARCA P3 DUCTAL, INCL:  TRAZO, CORTES, DOBLADO, PEGADO, CIERRE, APLICACION DE ACCESORIOS, PERFILES INVISIBLES Y PERFILES PARA DERIVACIONES DE ALUMINIO, TAPAJUNTAS DE NYLON GRIS, BANDA AISLANTE PARA JUNTAS, CAPTADORES DE ALUMINIO EN CODOS DE DUCTOS, ENGRAPADO, REFUERZOS CON PERFIL Y DISCOS DE ALUMINIO  SEGUN RECOMENDACION DEL FABRICANTE, ELEMENTOS DE SUJECION, SELLADO, MATERIAL, M. DE O., HERRAM., EQUIPO, ACARREOS, FLETES, MANIOBRAS, ANDAMIOS, SOBRANTES, LIMPIEZA Y RETIRO DE DESPERDICIOS AL LUGAR DE TIRO AUTORIZADO. (VER TARJETA MODELO).</t>
  </si>
  <si>
    <t xml:space="preserve">SUM. E INST. DE DIFUSOR DE INYECCION MODULAR MARCA NAMM MODELO DPQ CON SALIDA DE 12"Ø DE 24" X 24", INCLUYE: MATLS., M. DE O., HERRAM., EQ., ACARREOS, FLETES, DESPERDICIOS, CONSUMIBLES, ANDAMIOS, ELEMENTOS DE FIJACION, ABRAZADERAS DE LAMINA CON CREMALLERA, SOBRANTES, LIMPIEZA Y RETIRO DE DESPERDICIOS AL LUGAR DE TIRO AUTORIZADO. </t>
  </si>
  <si>
    <t>UND</t>
  </si>
  <si>
    <t xml:space="preserve">SUM. E INST. DE DIFUSOR DE INYECCION MODULAR MARCA NAMM MODELO DPQ CON SALIDA DE 10"Ø DE 24" X 24", INCLUYE: MATLS., M. DE O., HERRAM., EQ., ACARREOS, FLETES, DESPERDICIOS, CONSUMIBLES, ANDAMIOS, ELEMENTOS DE FIJACION, ABRAZADERAS DE LAMINA CON CREMALLERA, SOBRANTES, LIMPIEZA Y RETIRO DE DESPERDICIOS AL LUGAR DE TIRO AUTORIZADO. </t>
  </si>
  <si>
    <t xml:space="preserve">SUM. E INST. DE DIFUSOR DE INYECCION MODULAR MARCA NAMM MODELO DPQ CON SALIDA DE 8"Ø DE 24" X 24", INCLUYE: MATLS., M. DE O., HERRAM., EQ., ACARREOS, FLETES, DESPERDICIOS, CONSUMIBLES, ANDAMIOS, ELEMENTOS DE FIJACION, ABRAZADERAS DE LAMINA CON CREMALLERA, SOBRANTES, LIMPIEZA Y RETIRO DE DESPERDICIOS AL LUGAR DE TIRO AUTORIZADO. </t>
  </si>
  <si>
    <t xml:space="preserve">SUM. E INST. DE DIFUSOR DE RETORNO MODULAR MARCA NAMM MODELO DPQ CON SALIDA DE 12"Ø DE 24" X 24", INCLUYE: MATLS., M. DE O., HERRAM., EQ., ACARREOS, FLETES, DESPERDICIOS, CONSUMIBLES, ANDAMIOS, ELEMENTOS DE FIJACION, ABRAZADERAS DE LAMINA CON CREMALLERA, SOBRANTES, LIMPIEZA Y RETIRO DE DESPERDICIOS AL LUGAR DE TIRO AUTORIZADO. </t>
  </si>
  <si>
    <t xml:space="preserve">SUM. E INST. DE DIFUSOR DE RETORNO MODULAR MARCA NAMM MODELO DPQ CON SALIDA DE 10"Ø DE 24" X 24", INCLUYE: MATLS., M. DE O., HERRAM., EQ., ACARREOS, FLETES, DESPERDICIOS, CONSUMIBLES, ANDAMIOS, ELEMENTOS DE FIJACION, ABRAZADERAS DE LAMINA CON CREMALLERA, SOBRANTES, LIMPIEZA Y RETIRO DE DESPERDICIOS AL LUGAR DE TIRO AUTORIZADO. </t>
  </si>
  <si>
    <t xml:space="preserve">SUM. E INST. DE REJILLA DE RETORNO MARCA NAMM MODELO HR DE 6" X 6" , INCL: MATLS., M DE O HERRAM., EQ., ACARREOS, FLETES, DESPERDICIOS, CONSUMIBLES, ANDAMIOS, ELEM. DE FIJACION, ABRAZADERAS, DE LAMINA CON CREMALLERA, SOBRANTES, LIMPIEZA Y RETIRO DE DESPERDICIOS AL LUGAR DE TIRO AUTORIZADO. </t>
  </si>
  <si>
    <t>HL-445D-36X24</t>
  </si>
  <si>
    <t xml:space="preserve">SUM. E INST. DE LOUVER MARCA NAMM MODELO HL-445D DE 36" X 24" , INCL: MATLS., M DE O HERRAM., EQ., ACARREOS, FLETES, DESPERDICIOS, CONSUMIBLES, ANDAMIOS, ELEM. DE FIJACION, ABRAZADERAS, DE LAMINA CON CREMALLERA, SOBRANTES, LIMPIEZA Y RETIRO DE DESPERDICIOS AL LUGAR DE TIRO AUTORIZADO. </t>
  </si>
  <si>
    <t>HL-445D-24X24</t>
  </si>
  <si>
    <t xml:space="preserve">SUM. E INST. DE LOUVER MARCA NAMM MODELO HL-445D DE 24" X 24" , INCL: MATLS., M DE O HERRAM., EQ., ACARREOS, FLETES, DESPERDICIOS, CONSUMIBLES, ANDAMIOS, ELEM. DE FIJACION, ABRAZADERAS, DE LAMINA CON CREMALLERA, SOBRANTES, LIMPIEZA Y RETIRO DE DESPERDICIOS AL LUGAR DE TIRO AUTORIZADO. </t>
  </si>
  <si>
    <t>DP-18380-95X6</t>
  </si>
  <si>
    <t xml:space="preserve">SUM. E INST. DE DIFUSOR PERIMETRAL DE BARRAS LINEALES FIJAS MARCA NAMM MODELO DP-18380 CON MARCO DE 1/2" DE 95" X 6" , INCL: MATLS., M DE O HERRAM., EQ., ACARREOS, FLETES, DESPERDICIOS, CONSUMIBLES, ANDAMIOS, ELEM. DE FIJACION, ABRAZADERAS, DE LAMINA CON CREMALLERA, SOBRANTES, LIMPIEZA Y RETIRO DE DESPERDICIOS AL LUGAR DE TIRO AUTORIZADO. </t>
  </si>
  <si>
    <t>DP-18380-60X24</t>
  </si>
  <si>
    <t xml:space="preserve">SUM. E INST. DE DIFUSOR PERIMETRAL DE BARRAS LINEALES FIJAS MARCA NAMM MODELO DP-18380 CON MARCO DE 1/2" DE 60" X 24" , INCL: MATLS., M DE O HERRAM., EQ., ACARREOS, FLETES, DESPERDICIOS, CONSUMIBLES, ANDAMIOS, ELEM. DE FIJACION, ABRAZADERAS, DE LAMINA CON CREMALLERA, SOBRANTES, LIMPIEZA Y RETIRO DE DESPERDICIOS AL LUGAR DE TIRO AUTORIZADO. </t>
  </si>
  <si>
    <t>DP-18380-30X6</t>
  </si>
  <si>
    <t xml:space="preserve">SUM. E INST. DE DIFUSOR PERIMETRAL DE BARRAS LINEALES FIJAS MARCA NAMM MODELO DP-18380 CON MARCO DE 1/2" DE 30" X 6" , INCL: MATLS., M DE O HERRAM., EQ., ACARREOS, FLETES, DESPERDICIOS, CONSUMIBLES, ANDAMIOS, ELEM. DE FIJACION, ABRAZADERAS, DE LAMINA CON CREMALLERA, SOBRANTES, LIMPIEZA Y RETIRO DE DESPERDICIOS AL LUGAR DE TIRO AUTORIZADO. </t>
  </si>
  <si>
    <t>DP-18380-72X2</t>
  </si>
  <si>
    <t xml:space="preserve">SUM. E INST. DE DIFUSOR PERIMETRAL DE BARRAS LINEALES FIJAS MARCA NAMM MODELO DP-18380 CON MARCO DE 1/2" DE 72" X 2" , INCL: MATLS., M DE O HERRAM., EQ., ACARREOS, FLETES, DESPERDICIOS, CONSUMIBLES, ANDAMIOS, ELEM. DE FIJACION, ABRAZADERAS, DE LAMINA CON CREMALLERA, SOBRANTES, LIMPIEZA Y RETIRO DE DESPERDICIOS AL LUGAR DE TIRO AUTORIZADO. </t>
  </si>
  <si>
    <t>DP-18380-40X2</t>
  </si>
  <si>
    <t xml:space="preserve">SUM. E INST. DE DIFUSOR PERIMETRAL DE BARRAS LINEALES FIJAS MARCA NAMM MODELO DP-18380 CON MARCO DE 1/2" DE 40" X 2" , INCL: MATLS., M DE O HERRAM., EQ., ACARREOS, FLETES, DESPERDICIOS, CONSUMIBLES, ANDAMIOS, ELEM. DE FIJACION, ABRAZADERAS, DE LAMINA CON CREMALLERA, SOBRANTES, LIMPIEZA Y RETIRO DE DESPERDICIOS AL LUGAR DE TIRO AUTORIZADO. </t>
  </si>
  <si>
    <t>DP18380-40X20</t>
  </si>
  <si>
    <t xml:space="preserve">SUM. E INST. DE DIFUSOR PERIMETRAL DE BARRAS LINEALES FIJAS MARCA NAMM MODELO DP-18380 CON MARCO DE 1/2" DE 40" X 20" , INCL: MATLS., M DE O HERRAM., EQ., ACARREOS, FLETES, DESPERDICIOS, CONSUMIBLES, ANDAMIOS, ELEM. DE FIJACION, ABRAZADERAS, DE LAMINA CON CREMALLERA, SOBRANTES, LIMPIEZA Y RETIRO DE DESPERDICIOS AL LUGAR DE TIRO AUTORIZADO. </t>
  </si>
  <si>
    <t xml:space="preserve">SUM. E INST. DE DIFUSOR REDONDO DE INYECCIÓN MARCA NAMM MODELO DPQ-R DE 8"Ø , INCL: MATLS., M DE O HERRAM., EQ., ACARREOS, FLETES, DESPERDICIOS, CONSUMIBLES, ANDAMIOS, ELEM. DE FIJACION, ABRAZADERAS, DE LAMINA CON CREMALLERA, SOBRANTES, LIMPIEZA Y RETIRO DE DESPERDICIOS AL LUGAR DE TIRO AUTORIZADO. </t>
  </si>
  <si>
    <t xml:space="preserve">SUM. E INST. DE DIFUSOR REDONDO DE INYECCIÓN MARCA NAMM MODELO DPQ-R DE 10"Ø , INCL: MATLS., M DE O HERRAM., EQ., ACARREOS, FLETES, DESPERDICIOS, CONSUMIBLES, ANDAMIOS, ELEM. DE FIJACION, ABRAZADERAS, DE LAMINA CON CREMALLERA, SOBRANTES, LIMPIEZA Y RETIRO DE DESPERDICIOS AL LUGAR DE TIRO AUTORIZADO. </t>
  </si>
  <si>
    <t xml:space="preserve">SUM. E INST. DE DIFUSOR REDONDO DE INYECCIÓN MARCA NAMM MODELO DPQ-R DE 12"Ø , INCL: MATLS., M DE O HERRAM., EQ., ACARREOS, FLETES, DESPERDICIOS, CONSUMIBLES, ANDAMIOS, ELEM. DE FIJACION, ABRAZADERAS, DE LAMINA CON CREMALLERA, SOBRANTES, LIMPIEZA Y RETIRO DE DESPERDICIOS AL LUGAR DE TIRO AUTORIZADO. </t>
  </si>
  <si>
    <t>HL-445D-28X14</t>
  </si>
  <si>
    <t xml:space="preserve">SUM. E INST. DE LOUVER MARCA NAMM MODELO HL-445D DE 28" X 14" , INCL: MATLS., M DE O HERRAM., EQ., ACARREOS, FLETES, DESPERDICIOS, CONSUMIBLES, ANDAMIOS, ELEM. DE FIJACION, ABRAZADERAS, DE LAMINA CON CREMALLERA, SOBRANTES, LIMPIEZA Y RETIRO DE DESPERDICIOS AL LUGAR DE TIRO AUTORIZADO. </t>
  </si>
  <si>
    <t>HL-445D-14X14</t>
  </si>
  <si>
    <t xml:space="preserve">SUM. E INST. DE LOUVER MARCA NAMM MODELO HL-445D DE 14" X 14" , INCL: MATLS., M DE O HERRAM., EQ., ACARREOS, FLETES, DESPERDICIOS, CONSUMIBLES, ANDAMIOS, ELEM. DE FIJACION, ABRAZADERAS, DE LAMINA CON CREMALLERA, SOBRANTES, LIMPIEZA Y RETIRO DE DESPERDICIOS AL LUGAR DE TIRO AUTORIZADO. </t>
  </si>
  <si>
    <t xml:space="preserve">SUM. E INST. DE DIFUSOR LINEAL PARA INYECCION DE AIRE MARCA NAMM MODELO DE 2 RANURAS DE 3/4" Y 3' DE LONGITUD , INCL: MATLS., M DE O HERRAM., EQ., ACARREOS, FLETES, DESPERDICIOS, CONSUMIBLES, ANDAMIOS, ELEM. DE FIJACION, ABRAZADERAS, DE LAMINA CON CREMALLERA, SOBRANTES, LIMPIEZA Y RETIRO DE DESPERDICIOS AL LUGAR DE TIRO AUTORIZADO. </t>
  </si>
  <si>
    <t>DLR34-3FTX2R-3/4IN</t>
  </si>
  <si>
    <t xml:space="preserve">SUM. E INST. DE DIFUSOR LINEAL PARA RETORNO DE AIRE MARCA NAMM MODELO DE 2 RANURAS DE 3/4" Y 3' DE LONGITUD , INCL: MATLS., M DE O HERRAM., EQ., ACARREOS, FLETES, DESPERDICIOS, CONSUMIBLES, ANDAMIOS, ELEM. DE FIJACION, ABRAZADERAS, DE LAMINA CON CREMALLERA, SOBRANTES, LIMPIEZA Y RETIRO DE DESPERDICIOS AL LUGAR DE TIRO AUTORIZADO. </t>
  </si>
  <si>
    <t xml:space="preserve">SUM. E INST. DE DIFUSOR DE INYECCION MODULAR MARCA NAMM MODELO DPQ CON SALIDA DE 6"Ø DE 24" X 24", INCLUYE: MATLS., M. DE O., HERRAM., EQ., ACARREOS, FLETES, DESPERDICIOS, CONSUMIBLES, ANDAMIOS, ELEMENTOS DE FIJACION, ABRAZADERAS DE LAMINA CON CREMALLERA, SOBRANTES, LIMPIEZA Y RETIRO DE DESPERDICIOS AL LUGAR DE TIRO AUTORIZADO. </t>
  </si>
  <si>
    <t xml:space="preserve">SUM. E INST. DE DIFUSOR DE RETORNO MODULAR MARCA NAMM MODELO DPQ CON SALIDA DE 8"Ø DE 24" X 24", INCLUYE: MATLS., M. DE O., HERRAM., EQ., ACARREOS, FLETES, DESPERDICIOS, CONSUMIBLES, ANDAMIOS, ELEMENTOS DE FIJACION, ABRAZADERAS DE LAMINA CON CREMALLERA, SOBRANTES, LIMPIEZA Y RETIRO DE DESPERDICIOS AL LUGAR DE TIRO AUTORIZADO. </t>
  </si>
  <si>
    <t>DP-18380-48X4</t>
  </si>
  <si>
    <t xml:space="preserve">SUM. E INST. DE DIFUSOR PERIMETRAL DE BARRAS LINEALES FIJAS MARCA NAMM MODELO DP-18380 CON MARCO DE 1/2" DE 48" X 4" , INCL: MATLS., M DE O HERRAM., EQ., ACARREOS, FLETES, DESPERDICIOS, CONSUMIBLES, ANDAMIOS, ELEM. DE FIJACION, ABRAZADERAS, DE LAMINA CON CREMALLERA, SOBRANTES, LIMPIEZA Y RETIRO DE DESPERDICIOS AL LUGAR DE TIRO AUTORIZADO. </t>
  </si>
  <si>
    <t xml:space="preserve">SUM. E INST. DE REJILLA DE RETORNO MARCA NAMM MODELO HR DE 8" X 8" , INCL: MATLS., M DE O HERRAM., EQ., ACARREOS, FLETES, DESPERDICIOS, CONSUMIBLES, ANDAMIOS, ELEM. DE FIJACION, ABRAZADERAS, DE LAMINA CON CREMALLERA, SOBRANTES, LIMPIEZA Y RETIRO DE DESPERDICIOS AL LUGAR DE TIRO AUTORIZADO. </t>
  </si>
  <si>
    <t>HL-445D-60X14</t>
  </si>
  <si>
    <t xml:space="preserve">SUM. E INST. DE LOUVER MARCA NAMM MODELO HL-445D DE 60" X 14" , INCL: MATLS., M DE O HERRAM., EQ., ACARREOS, FLETES, DESPERDICIOS, CONSUMIBLES, ANDAMIOS, ELEM. DE FIJACION, ABRAZADERAS, DE LAMINA CON CREMALLERA, SOBRANTES, LIMPIEZA Y RETIRO DE DESPERDICIOS AL LUGAR DE TIRO AUTORIZADO. </t>
  </si>
  <si>
    <t>HL-445D-50X6</t>
  </si>
  <si>
    <t xml:space="preserve">SUM. E INST. DE LOUVER MARCA NAMM MODELO HL-445D DE 50" X 6" , INCL: MATLS., M DE O HERRAM., EQ., ACARREOS, FLETES, DESPERDICIOS, CONSUMIBLES, ANDAMIOS, ELEM. DE FIJACION, ABRAZADERAS, DE LAMINA CON CREMALLERA, SOBRANTES, LIMPIEZA Y RETIRO DE DESPERDICIOS AL LUGAR DE TIRO AUTORIZADO. </t>
  </si>
  <si>
    <t>HL-445D-40X6</t>
  </si>
  <si>
    <t xml:space="preserve">SUM. E INST. DE LOUVER MARCA NAMM MODELO HL-445D DE 40" X 6" , INCL: MATLS., M DE O HERRAM., EQ., ACARREOS, FLETES, DESPERDICIOS, CONSUMIBLES, ANDAMIOS, ELEM. DE FIJACION, ABRAZADERAS, DE LAMINA CON CREMALLERA, SOBRANTES, LIMPIEZA Y RETIRO DE DESPERDICIOS AL LUGAR DE TIRO AUTORIZADO. </t>
  </si>
  <si>
    <t>I-TERM-VRF</t>
  </si>
  <si>
    <t>COLOC. DE TERMOSTATO SUMINISTRADO POR BANORTE. INCLUYE: MATERIALES, MANO DE OBRA, HERRAMIENTA, EQUIPO Y TODO LO NECESARIO PARA SU CORRECTA EJECUCION, INSTALACION Y PUESTA EN OPERACIÓN</t>
  </si>
  <si>
    <t>I-TERM-GUARDA</t>
  </si>
  <si>
    <t>SUM. Y COLOC. DE GUARDA TERMOSTATO DE ACRILICO TRANSPARENTE CON LLAVE MCA. WATSCO O EQUIVALENTE, INCLUYE: MATERIALES, MANO DE OBRA, HERRAMIENTA, EQUIPO Y TODO LO NECESARIO PARA SU CORRECTA EJECUCION E  INSTALACIÓN</t>
  </si>
  <si>
    <t>TUBERIASYCABLEADO-01</t>
  </si>
  <si>
    <t>SUMINISTRO E INSTALACION TUBERIAS Y CABLEADO PARA CONTROL DE CLIMAS INCLUYE: TRAZO, NIVELACION, CORTES, AJUSTES, CABLEADO Y SU CANALIZACION, MATERIAL, MANO DE OBRA, AMTERIALES, HERRAMIENTA Y EQUIPOS SOPORTERIA, ANCLAJES, ABRAZADERAS, ACCESORIOS, SOBRANTES, RANURAS, RESANES, ACARREOS, FLETES, MANIOBRAS, ANDAMIOS, LIMPIEZA Y RETIRO DE DESPERDICIOS AL LUGAR DE TIRO AUTORIZADO, Y TODO LO NECESARIO PARA SU CORRECTA EJECUCIÓN. LAS CANTIDADES Y ESPECIFICACIONES .SE DEBE REVISAR EL ANALISIS DE LA SALIDA Y ESPECIFICACIONES (TARJETA MODELO)</t>
  </si>
  <si>
    <t>TUBERIAS-NEGRO-01</t>
  </si>
  <si>
    <t>SUM E INST. DE TUBERÍA DE FIERRO NEGRO CEDULA 40 CON COSTURA de 1/2" DIAM. CON AISLAMIENTO TIPO ARMAFLEX DE 1" CON ENCHAQUETADO ALUMINIO, PARA AGUA HELADA Y AGUA CALIENTE. INCLUYE.: PROPORCIONAL DESDE LA CONEXION A RAMAL PRINCIPAL DEL EDIFICIO HASTA CADA UNA DE LAS MANEJADORAS,  CONEXIONES, ROSCA DE TUBERIAS, SOPORTERIA, PRUEBAS, CONSUMIBLES, MATLS, M DE O., HERRAM, EQ., ACARREOS  A CUALQUIER NIVEL, ANDAMIOS, FLETES, MANIOBRAS, RANURAS, RESANES CORTES, LIMPIEZA Y RET. DE SOBRANTES AL LUGAR DE TIRO AUTORIZADO (VER TARJETA MOD.)</t>
  </si>
  <si>
    <t>CONTROL-01</t>
  </si>
  <si>
    <t>SUMINISTRO E INSTALACION SISTEMA Y EQUIPO PARA CONTROL DE CLIMAS INCLUYE: TRAZO, NIVELACION, CORTES, AJUSTES, MATERIAL, MANO DE OBRA, AMTERIALES, HERRAMIENTA Y EQUIPOS SOPORTERIA, ANCLAJES, ABRAZADERAS, ACCESORIOS, SOBRANTES, RANURAS, RESANES, ACARREOS, FLETES, MANIOBRAS, ANDAMIOS, LIMPIEZA Y RETIRO DE DESPERDICIOS AL LUGAR DE TIRO AUTORIZADO, Y TODO LO NECESARIO PARA SU CORRECTA EJECUCIÓN. LAS CANTIDADES Y ESPECIFICACIONES .SE DEBE REVISAR EL ANALISIS DE LA SALIDA Y ESPECIFICACIONES (TARJETA MODELO)</t>
  </si>
  <si>
    <t>I-SENSOR</t>
  </si>
  <si>
    <t>COLOC. DE SENSOR DE TEMPERATURA SUMINISTRADO POR BANORTE. INCLUYE: MATERIALES, MANO DE OBRA, HERRAMIENTA, EQUIPO Y TODO LO NECESARIO PARA SU CORRECTA EJECUCION, INSTALACION Y PUESTA EN OPERACIÓN</t>
  </si>
  <si>
    <t>I-SENSOR-GUARDA</t>
  </si>
  <si>
    <t>COLOC. DE GUARDA PARA SENSOR DE TEMPERATURA DE ACRILICO TRANSPARENTE CON LLAVE MCA. WATSCO O EQUIVALENTE, INCLUYE: MATERIALES, MANO DE OBRA, HERRAMIENTA, EQUIPO Y TODO LO NECESARIO PARA SU CORRECTA EJECUCION E  INSTALACIÓN</t>
  </si>
  <si>
    <t>I-VE-CJAV</t>
  </si>
  <si>
    <t xml:space="preserve">INST DE UNIDAD VAV ( VOLUMEN DE AIRE VARIABLE ) PARA DISTRIBUCIÓN DEL SISTEMA DE ACONDICIONAMIENTO DE AIRE, MARCA CARRIER,  SINGLE DUCT TERMINALS, CON AISLAMIENTO ESTÁNDAR (1/2 INCH FIBERGLASS LINER), PARA MANEJAR UN FLUJO DE AIRE DE 89 - 515 CFM,  OPERANDO EN 230V/1F/60 HZ. INCLUYE: TRASLADO Y PUESTA EN PISO DEL EDIFICIO BANORTE TORRE SUR.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</si>
  <si>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UNIDAD VAV ( VOLUMEN DE AIRE VARIABLE ) PARA DISTRIBUCIÓN DEL SISTEMA DE ACONDICIONAMIENTO DE AIRE, MARCA CARRIER,  SINGLE DUCT TERMINALS, CON AISLAMIENTO ESTÁNDAR (1/2 INCH FIBERGLASS LINER), PARA MANEJAR UN FLUJO DE AIRE DE 159 - 920 CFM,  OPERANDO EN 230V/1F/60 HZ. INCLUYE: TRASLADO Y PUESTA EN PISO DEL EDIFICIO BANORTE TORRE SUR.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</si>
  <si>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UNIDAD VAV ( VOLUMEN DE AIRE VARIABLE ) PARA DISTRIBUCIÓN DEL SISTEMA DE ACONDICIONAMIENTO DE AIRE, MARCA CARRIER,  SINGLE DUCT TERMINALS, CON AISLAMIENTO ESTÁNDAR (1/2 INCH FIBERGLASS LINER), PARA MANEJAR UN FLUJO DE AIRE DE 248 - 1,430 CFM,  OPERANDO EN 230V/1F/60 HZ. INCLUYE: TRASLADO Y PUESTA EN PISO DEL EDIFICIO BANORTE TORRE SUR.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</si>
  <si>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UNIDAD VAV ( VOLUMEN DE AIRE VARIABLE ) PARA DISTRIBUCIÓN DEL SISTEMA DE ACONDICIONAMIENTO DE AIRE, MARCA CARRIER,  SINGLE DUCT TERMINALS, CON AISLAMIENTO ESTÁNDAR (1/2 INCH FIBERGLASS LINER), PARA MANEJAR UN FLUJO DE AIRE DE 357 - 2,060 CFM,  OPERANDO EN 230V/1F/60 HZ. INCLUYE: TRASLADO Y PUESTA EN PISO DEL EDIFICIO BANORTE TORRE SUR.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</si>
  <si>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UNIDAD VAV ( VOLUMEN DE AIRE VARIABLE ) PARA DISTRIBUCIÓN DEL SISTEMA DE ACONDICIONAMIENTO DE AIRE, MARCA CARRIER,  SINGLE DUCT TERMINALS, CON AISLAMIENTO ESTÁNDAR (1/2 INCH FIBERGLASS LINER), PARA MANEJAR UN FLUJO DE AIRE DE 486 - 2,800 CFM,  OPERANDO EN 230V/1F/60 HZ. INCLUYE: TRASLADO Y PUESTA EN PISO DEL EDIFICIO BANORTE TORRE SUR.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</si>
  <si>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I-VE-LINEA</t>
  </si>
  <si>
    <t xml:space="preserve">INST DE VENTILADOR TIPO INLINE CABINET FAN MARCA GREENHECK, MODELO CSP-A700 OPERANDO EN 115V/1F/60HZ, CON UN FLUJO DE AIRE DE 320 CFM UNA PRESIÓN ESTÁTICA EXTERNA DE 0.75"-0.82" C. A. CON 944-979 FRPM, O EQUIVALENTE. INCLUYE: MOTOR WITH THERMAL OVERLOAD, MOTOR WITH CSA APPROVAL, MOTOR WITH 40 DEGREE C AMBIENT TEMPERATURE, MOTOR RATED FOR CONTINUOUS USE, UL/CUL 507 LISTED-ELECTRIC FAN, SOLID STATE SPEED CONTROL, 6 AMP, SHIPPED LOOSE, POLYPROPYLENE WHEEL MATERIAL,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</si>
  <si>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VENTILADOR TIPO INLINE CABINET FAN MARCA GREENHECK, MODELO CSP-A780 OPERANDO EN 115V/1F/60HZ, CON UN FLUJO DE AIRE DE 480 CFM UNA PRESIÓN ESTÁTICA EXTERNA DE 0.84" C. A. CON 1,495 FRPM, O EQUIVALENTE. INCLUYE: MOTOR WITH THERMAL OVERLOAD, MOTOR WITH CSA APPROVAL, MOTOR WITH 40 DEGREE C AMBIENT TEMPERATURE, MOTOR RATED FOR CONTINUOUS USE, UL/CUL 507 LISTED-ELECTRIC FAN, SOLID STATE SPEED CONTROL, 6 AMP, SHIPPED LOOSE, POLYPROPYLENE WHEEL MATERIAL.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</si>
  <si>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I-VE-CFGLS</t>
  </si>
  <si>
    <t xml:space="preserve">INST DE EQUIPO PARA RENOVACIÓN DE ENERGY RECOVERY VENTILATOR MARCA GREENHECK, MODELO ERV-20-15H CON UNA EFICACIA DE INTERCAMBIO DE ENTALPIA DEL 69.3% EN VERANO Y 68.6% EN INVIERNO, UN CAUDAL DE INYECCIÓN DE 1,650 CFM CON MOTOR DE 1 1/2 HP PARA VENCER 0.882" C. A., Y UN CAUDAL DE RETORNO DE 1,520 CFM CON MOTOR DE 1 HP PARA VENCER 0.728" C. A., OPERANDO EN 460V/3F/60HZ. INCLUYE: UNIT CONSTRUCTION DOUBLE WALL, OUTDOOR AIR FILTERS - 2" MERV 13, 2-16X20, EXHAUST AIR FILTERS - 2" MERV 8, 2-16X20, CO2 SENSOR - UNIT ON/OFF ROOM SPACE, OUTDOOR AIR DAMPER - LOW LEAKAGE MOTORIZED VCD-23, RETURN AIR DAMPER - LOW LEAKAGE MOTORIZED VCD-23, UNIT WARRANTY - 1 YR, ENERGY WHEEL WARRANTY - 5 YRS LESS MOTOR, INCLUYE: MAT., M DE O, HERRAMIENTA EQ., ARRANQUE, PRUEBAS, LIMPIEZA Y RETIRO DE SOBRANTES AL LUGAR DE TIRO AUT. Y TODO LO NECESARIO PARA LA CORRECTA INSTALACION. </t>
  </si>
  <si>
    <t>I-MANEDV1-6TR</t>
  </si>
  <si>
    <t>COLOC. DE UNIDAD MANEJADORA ENFRIADA CON CIRCUITO DE AGUA HELADA DEL SISTEMA DE ACONDICIONAMIENTO DE AIRE, MARCA CARRIER, MODELO 39L SIZE 21 CON UN COIL MODELO CARRIER 28 NA CON AISLAMIENTO DE 1", DOBLE PARED Y CONEXIONES DE MANO IZQUIERDA, PARA UNA CAPACIDAD DE 340,410 BTU/HR, UNA TEMPERATURA DE ENTRADA DEL AGUA DE 45°F, TEMPERATURA DE SALIDA DEL AGUA DE 55°F, CON FLUJO DE AGUA DE 60 GPM, SERPENTIN DE 6 HILERAS, FLUJO DE AIRE DE 10,000 CFM, KIT DE FILTROS DE 2" DE ESPESOR MERV 13, CON MOTOR DE 7 1/2 HP PARA OPERAR EN 460V/3F/60 HZ CON VARIADOR DE FRECUENCIA VFD PARA OPERAR EN 460V/3F/60 HZ, RESISTENCIA ELECTRICA DE 45 KW COMO SISTEMA DE CALEFACCION OPERANDO EN 480V/3F/60 HZ. INCLUYE: TRASLADO Y PUESTA EN NIVEL 3 DEL EDIFICIO BANORTE TORRE SUR, LA MANIOBRA DE INGRESO SERÁ POR MEDIO DE MURO EXTERIOR, SE UTILIZARÁ EL USO DE GRUA PARA SU INGRESO.  INCL:  TUBERIAS PARA CONDENSADOS DE PVC HASTA LA BAJADA DE AGUAS PLUVIALES MAS CERCANA O CONEXION DEL DRENAJE, SOPORTERIA ABRAZADERAS, PIJAS, TUERCAS, INTERCONEXION ELECTRICA, VALVULAS DE SERVICIO,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</si>
  <si>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COLOC. DE UNIDAD MANEJADORA ENFRIADA CON CIRCUITO DE AGUA HELADA DEL SISTEMA DE ACONDICIONAMIENTO DE AIRE, MARCA CARRIER, MODELO 39L SIZE 15 CON UN COIL MODELO CARRIER 28 NA CON AISLAMIENTO DE 1", DOBLE PARED Y CONEXIONES DE MANO DERECHA, PARA UNA CAPACIDAD DE 204,100 BTU/HR, UNA TEMPERATURA DE ENTRADA DEL AGUA DE 45°F, TEMPERATURA DE SALIDA DEL AGUA DE 55°F, CON FLUJO DE AGUA DE 36 GPM, SERPENTIN DE 6 HILERAS, FLUJO DE AIRE DE 6,000 CFM, KIT DE FILTROS DE 2" DE ESPESOR MERV 13, CON MOTOR DE 7 1/2 HP PARA OPERAR EN 460V/3F/60 HZ CON VARIADOR DE FRECUENCIA VFD PARA OPERAR EN 460V/3F/60 HZ, RESISTENCIA ELECTRICA DE 29 KW COMO SISTEMA DE CALEFACCION OPERANDO EN 480V/3F/60 HZ. INCLUYE: TRASLADO Y PUESTA EN NIVEL 3 DEL EDIFICIO BANORTE TORRE SUR, LA MANIOBRA DE INGRESO SERÁ POR MEDIO DE MURO EXTERIOR, SE UTILIZARÁ EL USO DE GRUA PARA SU INGRESO.  INCL:  TUBERIAS PARA CONDENSADOS DE PVC HASTA LA BAJADA DE AGUAS PLUVIALES MAS CERCANA O CONEXION DEL DRENAJE, SOPORTERIA ABRAZADERAS, PIJAS, TUERCAS, INTERCONEXION ELECTRICA, VALVULAS DE SERVICIO,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</si>
  <si>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I-CONVRFAI-16-18TR</t>
  </si>
  <si>
    <t>INSTALACION DE UNIDAD  EXTERIOR  (CONDENSADORA) SUMINISTRADA POR BANORTE VRF ENFRIADA POR AIRE MARCA TOSHIBA, MODELO MMY-MAP1806HT5P CON CAPACIDAD NOMINAL (CONDICIONES AHRI) DE 171,970 BTU/H EN ENFRIAMIENTO Y 191,080 BTU/H EN CALEFACCIÓN, OPERANDO EN 230V/3F/60HZ. INCLUYE: TRASLADO Y PUESTA EN AZOTEA DEL EDIFICIO BANORTE TORRE SUR, PARA LA MANIOBRA SE UTILIZARÁ EL USO DE ASCENSOR Y ESCALERAS PARA SU INGRESO.: MATERIALES, MANO DE OBRA ESPECIALIZADA, HERRAMIENTA, EQUIPO,  NEOPRENO, BASES METALICAS DE ANGULO PINTADAS, SOPORTERIA ABRAZADERAS, PIJAS, TUERCAS, INTERCONEXION ELECTRICA, DE CONTROL Y CONDENSADOS, ARRANQUE, PRUEBAS, LIMPIEZA Y RETIRO DE SOBRANTES AL LUGAR DE TIRO AUTORIZADO Y TODO LO NECESARIO PARA LA CORRECTA EJECUCION DE LOS TRABAJOS (VER TARJETA MODELO)</t>
  </si>
  <si>
    <t>I-CONVRFAI-6-10TR</t>
  </si>
  <si>
    <t>INSTALACION DE UNIDAD  EXTERIOR  (CONDENSADORA) SUMINISTRADA POR BANORTE VRF ENFRIADA POR AIRE MARCA TOSHIBA, MODELO MMY-MAP0806T5P CON CAPACIDAD NOMINAL (CONDICIONES AHRI) DE 76,429 BTU/H EN ENFRIAMIENTO, OPERANDO EN 230V/3F/60HZ. INCLUYE: TRASLADO Y PUESTA EN AZOTEA DEL EDIFICIO BANORTE TORRE SUR, PARA LA MANIOBRA SE UTILIZARÁ EL USO DE ASCENSOR Y ESCALERAS PARA SU INGRESO.: MATERIALES, MANO DE OBRA ESPECIALIZADA, HERRAMIENTA, EQUIPO,  NEOPRENO, BASES METALICAS DE ANGULO PINTADAS, SOPORTERIA ABRAZADERAS, PIJAS, TUERCAS, INTERCONEXION ELECTRICA, DE CONTROL Y CONDENSADOS, ARRANQUE, PRUEBAS, LIMPIEZA Y RETIRO DE SOBRANTES AL LUGAR DE TIRO AUTORIZADO Y TODO LO NECESARIO PARA LA CORRECTA EJECUCION DE LOS TRABAJOS (VER TARJETA MODELO)</t>
  </si>
  <si>
    <t xml:space="preserve">INST DE UNIDAD INTERIOR VRF TIPO CASSETTE DE 4 VÍAS MARCA TOSHIBA, MODELO MMU-AP0244HP-E CON CAPACIDAD NOMINAL (CONDICIONES AHRI) DE 24,225 BTU/H EN ENFRIAMIENTO Y 27,296 BTU/H EN CALEFACCIÓN OPERANDO EN 220V/1F/60HZ SUMINISTRADO POR BANORTE  INCL: TUBERIA DE COBRE, CODOS, SOLDADURA, AISLAMIENTO TERMICO K-FLEX, NEOPRENO EN BASES, REFRIGERANTE, DRENAJES DE PVC, SOPORTERIA ABRAZADERAS, PIJAS, TUERCAS, INTERCONEXION ELECTRICA, VALVULAS DE SERV, BASES DE ANGULO C/ PINTURA, MAT., M DE O, HERRAMIENTA EQ., ARRANQUE, PRUEBAS, LIMPIEZA Y RETIRO DE SOBRANTES AL LUGAR DE TIRO AUT. Y TODO LO NECESARIO PARA LA CORRECTA INSTALACION (VER TARJETA DE ANALISIS Y ESPECIFICACIONES.) </t>
  </si>
  <si>
    <t xml:space="preserve">INST DE UNIDAD UNIDAD INTERIOR VRF TIPO CASSETTE DE 4 VÍAS MARCA TOSHIBA, MODELO MMU-AP0184HP-E CON CAPACIDAD NOMINAL (CONDICIONES AHRI) DE 19,107 BTU/H EN ENFRIAMIENTO Y 21,496 BTU/H EN CALEFACCIÓN, OPERANDO EN 220V/1F/60HZ. SUMINISTRADO POR BANORTE  INCL: TUBERIA DE COBRE, CODOS, SOLDADURA, AISLAMIENTO TERMICO K-FLEX, NEOPRENO EN BASES, REFRIGERANTE, DRENAJES DE PVC, SOPORTERIA ABRAZADERAS, PIJAS, TUERCAS, INTERCONEXION ELECTRICA, VALVULAS DE SERV, BASES DE ANGULO C/ PINTURA, MAT., M DE O, HERRAMIENTA EQ., ARRANQUE, PRUEBAS, LIMPIEZA Y RETIRO DE SOBRANTES AL LUGAR DE TIRO AUT. Y TODO LO NECESARIO PARA LA CORRECTA INSTALACION (VER TARJETA DE ANALISIS Y ESPECIFICACIONES.) </t>
  </si>
  <si>
    <t>I-CONVRFAI-1-5TR</t>
  </si>
  <si>
    <t>INSTALACIÓN UNIDAD INTERIOR VRF TIPO SLIM CONCEALED DUCT DE PRESIÓN ESTÁTICA MEDIA MARCA TOSHIBA, MODELO MMD-AP0244SPH-E CON CAPACIDAD NOMINAL (CONDICIONES AHRI) DE 24,225 BTU/H EN ENFRIAMIENTO Y 27,296 BTU/H EN CALEFACCIÓN OPERANDO EN 220V/1F/60HZ. INCLUYE: ALIMENTACIÓN ELÉCTRICA DEL DESCONECTADOR A UNIDAD INTERIOR COMPUESTO DE TERMINALES ROJAS  CAL. 14, TERMINAL VERDE CAL. 14, CABLE ROJO THW CAL. 14, CABLE VERDE THW CAL. 14, MANGUERA FLEXIBLE LIQUID TIGHT 1/2"Ø, CONECTOR RECTO DE 1/2"Ø, MANGUERA FLEXIBLE LIQUID TIGHT 1/2"Ø PARA CONTROL, CONECTOR CURVO 90° DE 1/2"Ø PARA CONTROL, CODOS DE PVC 90° CED. 40 DE 1"Ø, TUBO DE PVC CED. 40 DE 1"Ø, PEGAMENTO PARA PVC, TAQUETES EXPANSORES TIPO Z DE 3/8"Ø X 2" DE LARGO, VARILLA ROSCADA DE 3/8"Ø, TUERCAS DE 3/8"Ø, ARANDELAS PLANA DE 3/8"Ø, UNICANAL DE 4X2, LONA AHULADA DE 7" DE ANCHO, HILO, LÁMINA GALVANIZADA CAL. 24, PEGAMENTO MARCA RESISTOL 5000, PIJAS AUTOTALADRANTES DE 5/16" X 3/4",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</si>
  <si>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INSTALACIÓNUNIDAD INTERIOR VRF TIPO SLIM CONCEALED DUCT DE PRESIÓN ESTÁTICA MEDIA MARCA TOSHIBA, MODELO MMD-AP0244SPH-E CON CAPACIDAD NOMINAL (CONDICIONES AHRI) DE 24,225 BTU/H EN ENFRIAMIENTO Y 27,296 BTU/H EN CALEFACCIÓN OPERANDO EN 220V/1F/60HZ. INCLUYE: ALIMENTACIÓN ELÉCTRICA DEL DESCONECTADOR A UNIDAD INTERIOR COMPUESTO DE TERMINALES ROJAS  CAL. 14, TERMINAL VERDE CAL. 14, CABLE ROJO THW CAL. 14, CABLE VERDE THW CAL. 14, MANGUERA FLEXIBLE LIQUID TIGHT 1/2"Ø, CONECTOR RECTO DE 1/2"Ø, MANGUERA FLEXIBLE LIQUID TIGHT 1/2"Ø PARA CONTROL, CONECTOR CURVO 90° DE 1/2"Ø PARA CONTROL, CODOS DE PVC 90° CED. 40 DE 1"Ø, TUBO DE PVC CED. 40 DE 1"Ø, PEGAMENTO PARA PVC, TAQUETES EXPANSORES TIPO Z DE 3/8"Ø X 2" DE LARGO, VARILLA ROSCADA DE 3/8"Ø, TUERCAS DE 3/8"Ø, ARANDELAS PLANA DE 3/8"Ø, UNICANAL DE 4X2, LONA AHULADA DE 7" DE ANCHO, HILO, LÁMINA GALVANIZADA CAL. 24, PEGAMENTO MARCA RESISTOL 5000, PIJAS AUTOTALADRANTES DE 5/16" X 3/4",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</si>
  <si>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TUBERIA-COBRE-01</t>
  </si>
  <si>
    <t>SUM E INST. DE TUBERÍA DE COBRE TIPO "L" PARA SISTEMA 1 (8 TR) DE GAS REFRIGERANTE, SERVICIO 24 HORAS/365 DIAS. DE DIFERENTES DIAMETROS CON AISLAMIENTO MARCA K-FLEX DE 1/2". INCLUYE.: PROPORCIONAL DESDE LA CONEXION A RAMAL PRINCIPAL DEL EDIFICIO HASTA CADA UNA DE LAS MANEJADORAS,  CONEXIONES, ROSCA DE TUBERIAS, SOPORTERIA, PRUEBAS, CONSUMIBLES, MATLS, M DE O., HERRAM, EQ., ACARREOS  A CUALQUIER NIVEL, ANDAMIOS, FLETES, MANIOBRAS, RANURAS, RESANES CORTES, LIMPIEZA Y RET. DE SOBRANTES AL LUGAR DE TIRO AUTORIZADO (VER TARJETA MOD.)</t>
  </si>
  <si>
    <t>TUBERIA-COBRE-02</t>
  </si>
  <si>
    <t>SUM E INST. DE TUBERÍA DE COBRE TIPO "L" PARA SISTEMA 2 (14.5 TR) DE GAS REFRIGERANTE, AIRE DE CONFORT. DE DIFERENTES DIAMETROS CON AISLAMIENTO MARCA K-FLEX DE 1/2". INCLUYE.: PROPORCIONAL DESDE LA CONEXION A RAMAL PRINCIPAL DEL EDIFICIO HASTA CADA UNA DE LAS MANEJADORAS,  CONEXIONES, ROSCA DE TUBERIAS, SOPORTERIA, PRUEBAS, CONSUMIBLES, MATLS, M DE O., HERRAM, EQ., ACARREOS  A CUALQUIER NIVEL, ANDAMIOS, FLETES, MANIOBRAS, RANURAS, RESANES CORTES, LIMPIEZA Y RET. DE SOBRANTES AL LUGAR DE TIRO AUTORIZADO (VER TARJETA MOD.)</t>
  </si>
  <si>
    <t>BALANCEO-02</t>
  </si>
  <si>
    <t>SUJECION-02</t>
  </si>
  <si>
    <t>DUCTOS02</t>
  </si>
  <si>
    <t>ACC-DUCT02</t>
  </si>
  <si>
    <t>DP-18380-40X12</t>
  </si>
  <si>
    <t xml:space="preserve">SUM. E INST. DE DIFUSOR PERIMETRAL DE BARRAS LINEALES FIJAS MARCA NAMM MODELO DP-18380 CON MARCO DE 1/2" DE 40" X 36" , INCL: MATLS., M DE O HERRAM., EQ., ACARREOS, FLETES, DESPERDICIOS, CONSUMIBLES, ANDAMIOS, ELEM. DE FIJACION, ABRAZADERAS, DE LAMINA CON CREMALLERA, SOBRANTES, LIMPIEZA Y RETIRO DE DESPERDICIOS AL LUGAR DE TIRO AUTORIZADO. </t>
  </si>
  <si>
    <t>TUBERIASYCABLEADO-02</t>
  </si>
  <si>
    <t>TUBERIAS-NEGRO-02</t>
  </si>
  <si>
    <t xml:space="preserve">INST DE VENTILADOR TIPO CENTRIFUGO INLINE CABINET FAN MARCA GREENHECK, MODELO CSP-A700 OPERANDO EN 115V/1F/60HZ, CON UN FLUJO DE AIRE DE 240-320 CFM UNA PRESIÓN ESTÁTICA EXTERNA DE 0.30-0.35" C. A. CON 880 FRPM, O EQUIVALENTE. INCLUYE: MOTOR WITH THERMAL OVERLOAD, MOTOR WITH CSA APPROVAL, MOTOR WITH 40 DEGREE C AMBIENT TEMPERATURE, MOTOR RATED FOR CONTINUOUS USE, UL/CUL 507 LISTED-ELECTRIC FAN, SOLID STATE SPEED CONTROL, 6 AMP, SHIPPED LOOSE, POLYPROPYLENE WHEEL MATERIAL.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</si>
  <si>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VENTILADOR TIPO CENTRIFUGO INLINE CABINET FAN MARCA GREENHECK, MODELO CSP-A780 OPERANDO EN 115V/1F/60HZ, CON UN FLUJO DE AIRE DE 320-480 CFM UNA PRESIÓN ESTÁTICA EXTERNA DE 0.30-0.35" C. A. CON 880 FRPM, O EQUIVALENTE. INCLUYE: MOTOR WITH THERMAL OVERLOAD, MOTOR WITH CSA APPROVAL, MOTOR WITH 40 DEGREE C AMBIENT TEMPERATURE, MOTOR RATED FOR CONTINUOUS USE, UL/CUL 507 LISTED-ELECTRIC FAN, SOLID STATE SPEED CONTROL, 6 AMP, SHIPPED LOOSE, POLYPROPYLENE WHEEL MATERIAL. SUMINISTRADO POR BANORTE, INCL: CUELLO DE LONA, SOPORTERIA ABRAZADERAS, PIJAS, TUERCAS, INTERCONEXION ELECTRICA, ACTUADOR PROPORCIONAL 24VAC, TRANSFORMADOR 127/24VAC, MAT., M DE O, HERRAMIENTA EQ., ARRANQUE, PRUEBAS, LIMPIEZA Y RETIRO DE SOBRANTES AL LUGAR DE TIRO AUT. Y TODO LO NECESARIO PARA LA CORRECTA INSTALACION. </t>
  </si>
  <si>
    <t xml:space="preserve">INST DE EQUIPO PARA RENOVACIÓN DE AIRE MARCA GREENHECK, MODELO ERV-20-15H CON UNA EFICACIA DE INTERCAMBIO DE ENTALPIA DEL 69.3% EN VERANO Y 68.6% EN INVIERNO, UN CAUDAL DE INYECCIÓN DE 1,650 CFM CON MOTOR DE 1 1/2 HP PARA VENCER 0.882" C. A., Y UN CAUDAL DE RETORNO DE 1,520 CFM CON MOTOR DE 1 HP PARA VENCER 0.728" C. A., OPERANDO EN 460V/3F/60HZ. INCLUYE: UNIT CONSTRUCTION DOUBLE WALL, OUTDOOR AIR FILTERS - 2" MERV 13, 2-16X20, EXHAUST AIR FILTERS - 2" MERV 8, 2-16X20, CO2 SENSOR - UNIT ON/OFF ROOM SPACE, OUTDOOR AIR DAMPER - LOW LEAKAGE MOTORIZED VCD-23, RETURN AIR DAMPER - LOW LEAKAGE MOTORIZED VCD-23, UNIT WARRANTY - 1 YR, ENERGY WHEEL WARRANTY - 5 YRS LESS MOTOR, MAT., M DE O, HERRAMIENTA EQ., ARRANQUE, PRUEBAS, LIMPIEZA Y RETIRO DE SOBRANTES AL LUGAR DE TIRO AUT. Y TODO LO NECESARIO PARA LA CORRECTA INSTALACION. </t>
  </si>
  <si>
    <t>CONTROL-02</t>
  </si>
  <si>
    <t>COLOC. DE UNIDAD UNIDAD MANEJADORA ENFRIADA CON CIRCUITO DE AGUA HELADA DEL SISTEMA DE ACONDICIONAMIENTO DE AIRE, MARCA CARRIER, MODELO 39L SIZE 21 CON UN COIL MODELO CARRIER 28 NA CON AISLAMIENTO DE 1", DOBLE PARED Y CONEXIONES DE MANO DERECHA E IZQUIERDA, PARA UNA CAPACIDAD DE 340,410 BTU/HR, UNA TEMPERATURA DE ENTRADA DEL AGUA DE 45°F, TEMPERATURA DE SALIDA DEL AGUA DE 55°F, CON FLUJO DE AGUA DE 60 GPM, SERPENTIN DE 6 HILERAS, FLUJO DE AIRE DE 10,000 CFM, KIT DE FILTROS DE 2" DE ESPESOR MERV 13, CON MOTOR DE 7 1/2 HP PARA OPERAR EN 460V/3F/60 HZ CON VARIADOR DE FRECUENCIA VFD PARA OPERAR EN 460V/3F/60 HZ, RESISTENCIA ELECTRICA DE 45 KW COMO SISTEMA DE CALEFACCION OPERANDO EN 480V/3F/60 HZ.  INCLUYE: TRASLADO Y PUESTA EN NIVEL 4 DEL EDIFICIO BANORTE TORRE SUR,   INCL: MANIOBRA, TUBERIAS PARA CONDENSADOS DE PVC HASTA LA BAJADA DE AGUAS PLUVIALES MAS CERCANA O CONEXION DEL DRENAJE, SOPORTERIA ABRAZADERAS, PIJAS, TUERCAS, INTERCONEXION ELECTRICA, VALVULAS DE SERVICIO,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</si>
  <si>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INSTALACIÓN PARA UNIDAD INTERIOR TIPO FAN&amp;COIL SISTEMA VRF MARCA TOSHIBA MODELO MMD-AP0181SPH (SUMINISTRADO POR BANORTE) OPERANDO A 220V/1F/60HZ. INCLUYE: ALIMENTACIÓN ELÉCTRICA DEL DESCONECTADOR A UNIDAD INTERIOR COMPUESTO DE TERMINALES ROJAS  CAL. 14, TERMINAL VERDE CAL. 14, CABLE ROJO THW CAL. 14, CABLE VERDE THW CAL. 14, MANGUERA FLEXIBLE LIQUID TIGHT 1/2"Ø, CONECTOR RECTO DE 1/2"Ø, MANGUERA FLEXIBLE LIQUID TIGHT 1/2"Ø PARA CONTROL, CONECTOR CURVO 90° DE 1/2"Ø PARA CONTROL, CODOS DE PVC 90° CED. 40 DE 1"Ø, TUBO DE PVC CED. 40 DE 1"Ø, PEGAMENTO PARA PVC, TAQUETES EXPANSORES TIPO Z DE 3/8"Ø X 2" DE LARGO, VARILLA ROSCADA DE 3/8"Ø, TUERCAS DE 3/8"Ø, ARANDELAS PLANA DE 3/8"Ø, UNICANAL DE 4X2, LONA AHULADA DE 7" DE ANCHO, HILO, LÁMINA GALVANIZADA CAL. 24, PEGAMENTO MARCA RESISTOL 5000, PIJAS AUTOTALADRANTES DE 5/16" X 3/4", MANO DE OBRA, MATERIALES HERRAMIENTA EQUIPO, ARRANQUE, PRUEBAS, LIMPIEZA Y RETIRO DE SOBRANTES AL LUGAR DE TIRO AUT. Y TODO LO NECESARIO PARA LA CORRECTA EJECUCION E INSTALACION DE LOS TRABAJOS LAS CANTIDADES Y ESPECIFICACIONES SE DEBEN REVISAR EN LA TARJETA DE ANALISIS Y ESPECIFICACIONES. (TARJETA MODELO)</t>
  </si>
  <si>
    <t>BALANCEO-03</t>
  </si>
  <si>
    <t>SUJECION-03</t>
  </si>
  <si>
    <t>DUCTOS03</t>
  </si>
  <si>
    <t>ACC-DUCT03</t>
  </si>
  <si>
    <t>TUBERIASYCABLEADO-03</t>
  </si>
  <si>
    <t>TUBERIAS-NEGRO-03</t>
  </si>
  <si>
    <t>CONTROL-03</t>
  </si>
  <si>
    <t>BALANCEO-04</t>
  </si>
  <si>
    <t>SUJECION-04</t>
  </si>
  <si>
    <t>DUCTOS04</t>
  </si>
  <si>
    <t>ACC-DUCT04</t>
  </si>
  <si>
    <t>TUBERIASYCABLEADO-04</t>
  </si>
  <si>
    <t>TUBERIAS-NEGRO-04</t>
  </si>
  <si>
    <t>CONTROL-04</t>
  </si>
  <si>
    <t>Nivel 06</t>
  </si>
  <si>
    <t>Nivel 07</t>
  </si>
  <si>
    <t>Nivel 08</t>
  </si>
  <si>
    <t>Nivel 09</t>
  </si>
  <si>
    <t>GENERALES</t>
  </si>
  <si>
    <t>BAN-001</t>
  </si>
  <si>
    <t>BAN-002</t>
  </si>
  <si>
    <t>BAN-003</t>
  </si>
  <si>
    <t>BAN-004</t>
  </si>
  <si>
    <t>BAN-005</t>
  </si>
  <si>
    <t>BAN-006</t>
  </si>
  <si>
    <t>BAN-007</t>
  </si>
  <si>
    <t>BAN-008</t>
  </si>
  <si>
    <t>BAN-009</t>
  </si>
  <si>
    <t>BAN-010</t>
  </si>
  <si>
    <t>BAN-011</t>
  </si>
  <si>
    <t>BAN-012</t>
  </si>
  <si>
    <t>BAN-013</t>
  </si>
  <si>
    <t>BAN-014</t>
  </si>
  <si>
    <t>BAN-015</t>
  </si>
  <si>
    <t>BAN-016</t>
  </si>
  <si>
    <t>BAN-017</t>
  </si>
  <si>
    <t>BAN-018</t>
  </si>
  <si>
    <t>BAN-019</t>
  </si>
  <si>
    <t>BAN-020</t>
  </si>
  <si>
    <t>BAN-021</t>
  </si>
  <si>
    <t>BAN-022</t>
  </si>
  <si>
    <t>BAN-023</t>
  </si>
  <si>
    <t>BAN-024</t>
  </si>
  <si>
    <t>BAN-025</t>
  </si>
  <si>
    <t>BAN-026</t>
  </si>
  <si>
    <t>BAN-027</t>
  </si>
  <si>
    <t>BAN-028</t>
  </si>
  <si>
    <t>BAN-029</t>
  </si>
  <si>
    <t>BAN-030</t>
  </si>
  <si>
    <t>BAN-031</t>
  </si>
  <si>
    <t>BAN-032</t>
  </si>
  <si>
    <t>BAN-033</t>
  </si>
  <si>
    <t>BAN-034</t>
  </si>
  <si>
    <t>BAN-035</t>
  </si>
  <si>
    <t>BAN-036</t>
  </si>
  <si>
    <t>BAN-037</t>
  </si>
  <si>
    <t>BAN-038</t>
  </si>
  <si>
    <t>BAN-039</t>
  </si>
  <si>
    <t>BAN-040</t>
  </si>
  <si>
    <t>BAN-041</t>
  </si>
  <si>
    <t>BAN-042</t>
  </si>
  <si>
    <t>BAN-043</t>
  </si>
  <si>
    <t>BAN-044</t>
  </si>
  <si>
    <t>BAN-045</t>
  </si>
  <si>
    <t>BAN-046</t>
  </si>
  <si>
    <t>BAN-047</t>
  </si>
  <si>
    <t>BAN-048</t>
  </si>
  <si>
    <t>BAN-049</t>
  </si>
  <si>
    <t>BAN-050</t>
  </si>
  <si>
    <t>BAN-051</t>
  </si>
  <si>
    <t>BAN-052</t>
  </si>
  <si>
    <t>BAN-053</t>
  </si>
  <si>
    <t>BAN-054</t>
  </si>
  <si>
    <t>BAN-055</t>
  </si>
  <si>
    <t>BAN-056</t>
  </si>
  <si>
    <t>BAN-057</t>
  </si>
  <si>
    <t>BAN-058</t>
  </si>
  <si>
    <t>BAN-059</t>
  </si>
  <si>
    <t>BAN-060</t>
  </si>
  <si>
    <t>BAN-061</t>
  </si>
  <si>
    <t>BAN-062</t>
  </si>
  <si>
    <t>BAN-063</t>
  </si>
  <si>
    <t>BAN-064</t>
  </si>
  <si>
    <t>BAN-065</t>
  </si>
  <si>
    <t>BAN-066</t>
  </si>
  <si>
    <t>BAN-067</t>
  </si>
  <si>
    <t>BAN-068</t>
  </si>
  <si>
    <t>BAN-069</t>
  </si>
  <si>
    <t>BAN-070</t>
  </si>
  <si>
    <t>BAN-071</t>
  </si>
  <si>
    <t>BAN-072</t>
  </si>
  <si>
    <t>BAN-073</t>
  </si>
  <si>
    <t>BAN-074</t>
  </si>
  <si>
    <t>BAN-075</t>
  </si>
  <si>
    <t>BAN-076</t>
  </si>
  <si>
    <t>BAN-077</t>
  </si>
  <si>
    <t>BAN-078</t>
  </si>
  <si>
    <t>BAN-079</t>
  </si>
  <si>
    <t>BAN-080</t>
  </si>
  <si>
    <t>BAN-081</t>
  </si>
  <si>
    <t>BAN-082</t>
  </si>
  <si>
    <t>BAN-083</t>
  </si>
  <si>
    <t>BAN-084</t>
  </si>
  <si>
    <t>BAN-085</t>
  </si>
  <si>
    <t>BAN-086</t>
  </si>
  <si>
    <t>BAN-087</t>
  </si>
  <si>
    <t>BAN-088</t>
  </si>
  <si>
    <t>BAN-089</t>
  </si>
  <si>
    <t>BAN-090</t>
  </si>
  <si>
    <t>BAN-091</t>
  </si>
  <si>
    <t>BAN-092</t>
  </si>
  <si>
    <t>BAN-093</t>
  </si>
  <si>
    <t>BAN-094</t>
  </si>
  <si>
    <t>BAN-095</t>
  </si>
  <si>
    <t>BAN-096</t>
  </si>
  <si>
    <t>BAN-097</t>
  </si>
  <si>
    <t>BAN-098</t>
  </si>
  <si>
    <t>BAN-099</t>
  </si>
  <si>
    <t>BAN-100</t>
  </si>
  <si>
    <t>BAN-101</t>
  </si>
  <si>
    <t>BAN-102</t>
  </si>
  <si>
    <t>BAN-103</t>
  </si>
  <si>
    <t>BAN-104</t>
  </si>
  <si>
    <t>BAN-105</t>
  </si>
  <si>
    <t>BAN-106</t>
  </si>
  <si>
    <t>BAN-107</t>
  </si>
  <si>
    <t>BAN-108</t>
  </si>
  <si>
    <t>BAN-109</t>
  </si>
  <si>
    <t>BAN-110</t>
  </si>
  <si>
    <t>BAN-111</t>
  </si>
  <si>
    <t>BAN-112</t>
  </si>
  <si>
    <t>BAN-113</t>
  </si>
  <si>
    <t>BAN-114</t>
  </si>
  <si>
    <t>BAN-115</t>
  </si>
  <si>
    <t>BAN-116</t>
  </si>
  <si>
    <t>BAN-117</t>
  </si>
  <si>
    <t>BAN-118</t>
  </si>
  <si>
    <t>BAN-119</t>
  </si>
  <si>
    <t>BAN-120</t>
  </si>
  <si>
    <t>BAN-121</t>
  </si>
  <si>
    <t>BAN-122</t>
  </si>
  <si>
    <t>BAN-123</t>
  </si>
  <si>
    <t>BAN-124</t>
  </si>
  <si>
    <t>BAN-125</t>
  </si>
  <si>
    <t>BAN-126</t>
  </si>
  <si>
    <t>BAN-127</t>
  </si>
  <si>
    <t>BAN-128</t>
  </si>
  <si>
    <t>BAN-129</t>
  </si>
  <si>
    <t>BAN-130</t>
  </si>
  <si>
    <t>BAN-131</t>
  </si>
  <si>
    <t>BAN-132</t>
  </si>
  <si>
    <t>BAN-133</t>
  </si>
  <si>
    <t>BAN-134</t>
  </si>
  <si>
    <t>BAN-135</t>
  </si>
  <si>
    <t>BAN-136</t>
  </si>
  <si>
    <t>BAN-137</t>
  </si>
  <si>
    <t>BAN-138</t>
  </si>
  <si>
    <t>BAN-139</t>
  </si>
  <si>
    <t>BAN-140</t>
  </si>
  <si>
    <t>BAN-141</t>
  </si>
  <si>
    <t>BAN-142</t>
  </si>
  <si>
    <t>BAN-143</t>
  </si>
  <si>
    <t>BAN-144</t>
  </si>
  <si>
    <t>BAN-145</t>
  </si>
  <si>
    <t>BAN-146</t>
  </si>
  <si>
    <t>BAN-147</t>
  </si>
  <si>
    <t>BAN-148</t>
  </si>
  <si>
    <t>BAN-149</t>
  </si>
  <si>
    <t>BAN-150</t>
  </si>
  <si>
    <t>BAN-151</t>
  </si>
  <si>
    <t>BAN-152</t>
  </si>
  <si>
    <t>BAN-153</t>
  </si>
  <si>
    <t>BAN-154</t>
  </si>
  <si>
    <t>BAN-155</t>
  </si>
  <si>
    <t>BAN-156</t>
  </si>
  <si>
    <t>BAN-157</t>
  </si>
  <si>
    <t>BAN-158</t>
  </si>
  <si>
    <t>BAN-159</t>
  </si>
  <si>
    <t>BAN-160</t>
  </si>
  <si>
    <t>BAN-161</t>
  </si>
  <si>
    <t>BAN-162</t>
  </si>
  <si>
    <t>BAN-163</t>
  </si>
  <si>
    <t>BAN-164</t>
  </si>
  <si>
    <t>BAN-165</t>
  </si>
  <si>
    <t>BAN-166</t>
  </si>
  <si>
    <t>BAN-167</t>
  </si>
  <si>
    <t>BAN-168</t>
  </si>
  <si>
    <t>BAN-169</t>
  </si>
  <si>
    <t>BAN-170</t>
  </si>
  <si>
    <t>BAN-171</t>
  </si>
  <si>
    <t>BAN-172</t>
  </si>
  <si>
    <t>BAN-173</t>
  </si>
  <si>
    <t>BAN-174</t>
  </si>
  <si>
    <t>BAN-175</t>
  </si>
  <si>
    <t>BAN-176</t>
  </si>
  <si>
    <t>BAN-177</t>
  </si>
  <si>
    <t>BAN-178</t>
  </si>
  <si>
    <t>BAN-179</t>
  </si>
  <si>
    <t>BAN-180</t>
  </si>
  <si>
    <t>Proyecto Dummy</t>
  </si>
  <si>
    <t>Empresa Dummy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</si>
</sst>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5" formatCode="_-&quot;$&quot;* #,##0.00_-;\-&quot;$&quot;* #,##0.00_-;_-&quot;$&quot;* &quot;-&quot;??_-;_-@_-"/>
    <numFmt numFmtId="170" formatCode="[$-409]d\-mmm\-yy;@"/>
    <numFmt numFmtId="171" formatCode="_(&quot;$&quot;* #,##0.00_);_(&quot;$&quot;* \(#,##0.00\);_(&quot;$&quot;* &quot;-&quot;??_);_(@_)"/>
  </numFmts>
  <fonts count="15">
    <font>
      <sz val="11"/>
      <color theme="1"/>
      <name val="Calibri"/>
      <family val="2"/>
      <scheme val="minor"/>
    </font>
    <font>
      <sz val="11"/>
      <color theme="1"/>
      <name val="Calibri"/>
      <family val="2"/>
      <scheme val="minor"/>
    </font>
    <font>
      <sz val="8"/>
      <name val="Calibri"/>
      <family val="2"/>
      <scheme val="minor"/>
    </font>
    <font>
      <sz val="10"/>
      <color theme="1"/>
      <name val="Arial"/>
      <family val="2"/>
    </font>
    <font>
      <sz val="10"/>
      <name val="Arial"/>
      <family val="2"/>
    </font>
    <font>
      <sz val="12"/>
      <name val="Arial"/>
      <family val="2"/>
    </font>
    <font>
      <b/>
      <sz val="12"/>
      <name val="Arial"/>
      <family val="2"/>
    </font>
    <font>
      <sz val="11"/>
      <name val="Calibri"/>
      <family val="2"/>
      <scheme val="minor"/>
    </font>
    <font>
      <u/>
      <sz val="11"/>
      <color theme="10"/>
      <name val="Calibri"/>
      <family val="2"/>
      <scheme val="minor"/>
    </font>
    <font>
      <sz val="12"/>
      <name val="Arial MT"/>
    </font>
    <font>
      <b/>
      <sz val="14"/>
      <name val="Century Gothic"/>
      <family val="2"/>
    </font>
    <font>
      <sz val="14"/>
      <color rgb="FF000000"/>
      <name val="Century Gothic"/>
      <family val="2"/>
    </font>
    <font>
      <b/>
      <sz val="10"/>
      <color theme="1"/>
      <name val="Arial"/>
      <family val="2"/>
    </font>
    <font>
      <sz val="11"/>
      <color theme="1"/>
      <name val="Calibri"/>
      <family val="2"/>
      <scheme val="minor"/>
    </font>
    <font>
      <u/>
      <sz val="10"/>
      <color theme="1"/>
      <name val="Arial"/>
      <family val="2"/>
    </font>
  </fonts>
  <fills count="6">
    <fill>
      <patternFill patternType="none"/>
    </fill>
    <fill>
      <patternFill patternType="gray125"/>
    </fill>
    <fill>
      <patternFill patternType="solid">
        <fgColor them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6" tint="0.59999389629810485"/>
        <bgColor indexed="64"/>
      </patternFill>
    </fill>
  </fills>
  <borders count="17">
    <border>
      <left/>
      <right/>
      <top/>
      <bottom/>
      <diagonal/>
    </border>
    <border>
      <left/>
      <right style="thin">
        <color theme="1"/>
      </right>
      <top/>
      <bottom style="medium">
        <color theme="1"/>
      </bottom>
      <diagonal/>
    </border>
    <border>
      <left style="thin">
        <color theme="1"/>
      </left>
      <right style="thin">
        <color theme="1"/>
      </right>
      <top/>
      <bottom style="medium">
        <color theme="1"/>
      </bottom>
      <diagonal/>
    </border>
    <border>
      <left style="thin">
        <color theme="1"/>
      </left>
      <right/>
      <top/>
      <bottom style="medium">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style="thin">
        <color theme="1"/>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theme="1"/>
      </right>
      <top/>
      <bottom style="medium">
        <color theme="1"/>
      </bottom>
      <diagonal/>
    </border>
    <border>
      <left style="thin">
        <color theme="1"/>
      </left>
      <right style="medium">
        <color indexed="64"/>
      </right>
      <top/>
      <bottom style="medium">
        <color theme="1"/>
      </bottom>
      <diagonal/>
    </border>
    <border>
      <left style="thin">
        <color theme="1"/>
      </left>
      <right style="medium">
        <color indexed="64"/>
      </right>
      <top/>
      <bottom/>
      <diagonal/>
    </border>
    <border>
      <left style="medium">
        <color indexed="64"/>
      </left>
      <right style="thin">
        <color theme="1"/>
      </right>
      <top style="thin">
        <color theme="1"/>
      </top>
      <bottom/>
      <diagonal/>
    </border>
  </borders>
  <cellStyleXfs count="26">
    <xf numFmtId="0" fontId="0"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4" fillId="0" borderId="0"/>
    <xf numFmtId="0" fontId="4" fillId="0" borderId="0"/>
    <xf numFmtId="165" fontId="1" fillId="0" borderId="0" applyFont="0" applyFill="0" applyBorder="0" applyAlignment="0" applyProtection="0"/>
    <xf numFmtId="165"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0" borderId="0"/>
    <xf numFmtId="165" fontId="4" fillId="0" borderId="0" applyFont="0" applyFill="0" applyBorder="0" applyAlignment="0" applyProtection="0"/>
    <xf numFmtId="9" fontId="9" fillId="0" borderId="0" applyFont="0" applyFill="0" applyBorder="0" applyAlignment="0" applyProtection="0"/>
    <xf numFmtId="0" fontId="1" fillId="0" borderId="0"/>
    <xf numFmtId="165" fontId="1" fillId="0" borderId="0" applyFont="0" applyFill="0" applyBorder="0" applyAlignment="0" applyProtection="0"/>
    <xf numFmtId="171" fontId="1" fillId="0" borderId="0" applyFont="0" applyFill="0" applyBorder="0" applyAlignment="0" applyProtection="0"/>
    <xf numFmtId="0" fontId="5" fillId="0" borderId="0"/>
    <xf numFmtId="171" fontId="1" fillId="0" borderId="0" applyFont="0" applyFill="0" applyBorder="0" applyAlignment="0" applyProtection="0"/>
    <xf numFmtId="0" fontId="1" fillId="0" borderId="0"/>
    <xf numFmtId="0" fontId="4" fillId="0" borderId="0"/>
    <xf numFmtId="0" fontId="13" fillId="0" borderId="0"/>
    <xf numFmtId="171" fontId="13" fillId="0" borderId="0" applyFont="0" applyFill="0" applyBorder="0" applyAlignment="0" applyProtection="0"/>
  </cellStyleXfs>
  <cellXfs count="76">
    <xf numFmtId="0" fontId="0" fillId="0" borderId="0" xfId="0"/>
    <xf numFmtId="0" fontId="0" fillId="0" borderId="0" xfId="0" applyAlignment="1">
      <alignment horizontal="center"/>
    </xf>
    <xf numFmtId="0" fontId="7" fillId="0" borderId="0" xfId="0" applyFont="1" applyAlignment="1">
      <alignment horizontal="center" vertical="top"/>
    </xf>
    <xf numFmtId="0" fontId="10" fillId="0" borderId="0" xfId="0" applyFont="1"/>
    <xf numFmtId="0" fontId="6" fillId="0" borderId="0" xfId="0" applyFont="1" applyAlignment="1">
      <alignment horizontal="left" vertical="top"/>
    </xf>
    <xf numFmtId="0" fontId="0" fillId="0" borderId="0" xfId="0" applyAlignment="1">
      <alignment wrapText="1"/>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2" fontId="12" fillId="2" borderId="2" xfId="0" applyNumberFormat="1" applyFont="1" applyFill="1" applyBorder="1" applyAlignment="1">
      <alignment horizontal="center" vertical="center" wrapText="1"/>
    </xf>
    <xf numFmtId="165" fontId="12" fillId="2" borderId="2" xfId="1" applyFont="1" applyFill="1" applyBorder="1" applyAlignment="1">
      <alignment horizontal="center" vertical="center" wrapText="1"/>
    </xf>
    <xf numFmtId="0" fontId="12" fillId="0" borderId="2" xfId="0" applyFont="1" applyBorder="1" applyAlignment="1">
      <alignment horizontal="center" vertical="center" wrapText="1"/>
    </xf>
    <xf numFmtId="0" fontId="12" fillId="2"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3" fillId="0" borderId="4" xfId="0" applyFont="1" applyBorder="1" applyAlignment="1">
      <alignment horizontal="left" vertical="top"/>
    </xf>
    <xf numFmtId="0" fontId="3" fillId="0" borderId="5" xfId="0" applyFont="1" applyBorder="1" applyAlignment="1">
      <alignment horizontal="center" vertical="top"/>
    </xf>
    <xf numFmtId="49" fontId="3" fillId="0" borderId="5" xfId="0" applyNumberFormat="1" applyFont="1" applyBorder="1" applyAlignment="1">
      <alignment horizontal="center" vertical="center"/>
    </xf>
    <xf numFmtId="0" fontId="3" fillId="0" borderId="5" xfId="0" applyFont="1" applyBorder="1" applyAlignment="1">
      <alignment horizontal="left" vertical="top"/>
    </xf>
    <xf numFmtId="2" fontId="3" fillId="0" borderId="5" xfId="0" applyNumberFormat="1" applyFont="1" applyBorder="1" applyAlignment="1">
      <alignment horizontal="center" vertical="center"/>
    </xf>
    <xf numFmtId="165" fontId="3" fillId="0" borderId="5" xfId="2" applyNumberFormat="1" applyFont="1" applyFill="1" applyBorder="1" applyAlignment="1">
      <alignment horizontal="center" vertical="top"/>
    </xf>
    <xf numFmtId="165" fontId="3" fillId="0" borderId="5" xfId="1" applyFont="1" applyFill="1" applyBorder="1" applyAlignment="1">
      <alignment horizontal="center" vertical="top"/>
    </xf>
    <xf numFmtId="165" fontId="3" fillId="0" borderId="5" xfId="1" applyFont="1" applyFill="1" applyBorder="1" applyAlignment="1">
      <alignment horizontal="center" vertical="center"/>
    </xf>
    <xf numFmtId="170" fontId="3" fillId="0" borderId="5"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5" xfId="2" applyNumberFormat="1" applyFont="1" applyFill="1" applyBorder="1" applyAlignment="1">
      <alignment horizontal="center" vertical="center"/>
    </xf>
    <xf numFmtId="1" fontId="3" fillId="0" borderId="5" xfId="4" applyNumberFormat="1" applyFont="1" applyFill="1" applyBorder="1" applyAlignment="1">
      <alignment horizontal="center" vertical="center"/>
    </xf>
    <xf numFmtId="10" fontId="3" fillId="0" borderId="5" xfId="2" applyNumberFormat="1" applyFont="1" applyFill="1" applyBorder="1" applyAlignment="1">
      <alignment horizontal="center" vertical="center"/>
    </xf>
    <xf numFmtId="43" fontId="3" fillId="0" borderId="5" xfId="2" applyNumberFormat="1" applyFont="1" applyFill="1" applyBorder="1" applyAlignment="1">
      <alignment horizontal="center" vertical="center"/>
    </xf>
    <xf numFmtId="9" fontId="3" fillId="0" borderId="5" xfId="2" applyFont="1" applyFill="1" applyBorder="1" applyAlignment="1">
      <alignment horizontal="center" vertical="center"/>
    </xf>
    <xf numFmtId="165" fontId="3" fillId="0" borderId="5" xfId="1" applyFont="1" applyFill="1" applyBorder="1" applyAlignment="1">
      <alignment vertical="center"/>
    </xf>
    <xf numFmtId="43" fontId="3" fillId="0" borderId="6" xfId="4" applyFont="1" applyFill="1" applyBorder="1" applyAlignment="1">
      <alignment vertical="center"/>
    </xf>
    <xf numFmtId="165" fontId="3" fillId="0" borderId="7" xfId="2" applyNumberFormat="1" applyFont="1" applyFill="1" applyBorder="1" applyAlignment="1">
      <alignment horizontal="center" vertical="top"/>
    </xf>
    <xf numFmtId="165" fontId="3" fillId="0" borderId="7" xfId="1" applyFont="1" applyFill="1" applyBorder="1" applyAlignment="1">
      <alignment horizontal="center" vertical="top"/>
    </xf>
    <xf numFmtId="165" fontId="3" fillId="0" borderId="7" xfId="1" applyFont="1" applyFill="1" applyBorder="1" applyAlignment="1">
      <alignment horizontal="center" vertical="center"/>
    </xf>
    <xf numFmtId="170" fontId="3" fillId="0" borderId="7" xfId="0" applyNumberFormat="1" applyFont="1" applyBorder="1" applyAlignment="1">
      <alignment horizontal="center" vertical="center"/>
    </xf>
    <xf numFmtId="1" fontId="3" fillId="0" borderId="7" xfId="0" applyNumberFormat="1" applyFont="1" applyBorder="1" applyAlignment="1">
      <alignment horizontal="center" vertical="center"/>
    </xf>
    <xf numFmtId="1" fontId="3" fillId="0" borderId="7" xfId="2" applyNumberFormat="1" applyFont="1" applyFill="1" applyBorder="1" applyAlignment="1">
      <alignment horizontal="center" vertical="center"/>
    </xf>
    <xf numFmtId="1" fontId="3" fillId="0" borderId="7" xfId="4" applyNumberFormat="1" applyFont="1" applyFill="1" applyBorder="1" applyAlignment="1">
      <alignment horizontal="center" vertical="center"/>
    </xf>
    <xf numFmtId="43" fontId="3" fillId="0" borderId="7" xfId="2" applyNumberFormat="1" applyFont="1" applyFill="1" applyBorder="1" applyAlignment="1">
      <alignment horizontal="center" vertical="center"/>
    </xf>
    <xf numFmtId="9" fontId="3" fillId="0" borderId="7" xfId="2" applyFont="1" applyFill="1" applyBorder="1" applyAlignment="1">
      <alignment horizontal="center" vertical="center"/>
    </xf>
    <xf numFmtId="165" fontId="3" fillId="0" borderId="7" xfId="1" applyFont="1" applyFill="1" applyBorder="1" applyAlignment="1">
      <alignment vertical="center"/>
    </xf>
    <xf numFmtId="165" fontId="12" fillId="3" borderId="2" xfId="1" applyFont="1" applyFill="1" applyBorder="1" applyAlignment="1">
      <alignment horizontal="center" vertical="center" wrapText="1"/>
    </xf>
    <xf numFmtId="0" fontId="12" fillId="2" borderId="2"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center" vertical="center"/>
    </xf>
    <xf numFmtId="0" fontId="0" fillId="0" borderId="8" xfId="0" applyBorder="1"/>
    <xf numFmtId="0" fontId="0" fillId="0" borderId="9" xfId="0" applyBorder="1"/>
    <xf numFmtId="165" fontId="3" fillId="0" borderId="15" xfId="1" applyFont="1" applyFill="1" applyBorder="1" applyAlignment="1">
      <alignment vertical="center"/>
    </xf>
    <xf numFmtId="43" fontId="3" fillId="0" borderId="5" xfId="4" applyFont="1" applyFill="1" applyBorder="1" applyAlignment="1">
      <alignment horizontal="center" vertical="center"/>
    </xf>
    <xf numFmtId="165" fontId="12" fillId="2" borderId="13" xfId="1" applyFont="1" applyFill="1" applyBorder="1" applyAlignment="1">
      <alignment horizontal="center" vertical="center" wrapText="1"/>
    </xf>
    <xf numFmtId="165" fontId="12" fillId="2" borderId="14" xfId="1" applyFont="1" applyFill="1" applyBorder="1" applyAlignment="1">
      <alignment horizontal="center" vertical="center" wrapText="1"/>
    </xf>
    <xf numFmtId="165" fontId="3" fillId="0" borderId="5" xfId="0" applyNumberFormat="1" applyFont="1" applyBorder="1" applyAlignment="1">
      <alignment horizontal="center" vertical="top"/>
    </xf>
    <xf numFmtId="165" fontId="3" fillId="0" borderId="5" xfId="0" applyNumberFormat="1" applyFont="1" applyBorder="1" applyAlignment="1">
      <alignment horizontal="center" vertical="center"/>
    </xf>
    <xf numFmtId="43" fontId="3" fillId="0" borderId="5" xfId="0" applyNumberFormat="1" applyFont="1" applyBorder="1" applyAlignment="1">
      <alignment horizontal="center" vertical="center"/>
    </xf>
    <xf numFmtId="10" fontId="3" fillId="0" borderId="5" xfId="0" applyNumberFormat="1" applyFont="1" applyBorder="1" applyAlignment="1">
      <alignment horizontal="center" vertical="center"/>
    </xf>
    <xf numFmtId="9" fontId="3" fillId="0" borderId="5" xfId="0" applyNumberFormat="1" applyFont="1" applyBorder="1" applyAlignment="1">
      <alignment horizontal="center" vertical="center"/>
    </xf>
    <xf numFmtId="165" fontId="3" fillId="0" borderId="5" xfId="0" applyNumberFormat="1" applyFont="1" applyBorder="1" applyAlignment="1">
      <alignment vertical="center"/>
    </xf>
    <xf numFmtId="43" fontId="3" fillId="0" borderId="6" xfId="0" applyNumberFormat="1" applyFont="1" applyBorder="1" applyAlignment="1">
      <alignment vertical="center"/>
    </xf>
    <xf numFmtId="165" fontId="3" fillId="0" borderId="16" xfId="0" applyNumberFormat="1" applyFont="1" applyBorder="1" applyAlignment="1">
      <alignment vertical="center"/>
    </xf>
    <xf numFmtId="0" fontId="0" fillId="4" borderId="0" xfId="0" applyFill="1"/>
    <xf numFmtId="0" fontId="0" fillId="4" borderId="0" xfId="0" applyFill="1" applyAlignment="1">
      <alignment horizontal="left"/>
    </xf>
    <xf numFmtId="0" fontId="0" fillId="5" borderId="0" xfId="0" applyFill="1"/>
    <xf numFmtId="0" fontId="0" fillId="5" borderId="0" xfId="0" applyFill="1" applyAlignment="1">
      <alignment horizontal="center" vertical="center"/>
    </xf>
    <xf numFmtId="0" fontId="7" fillId="0" borderId="0" xfId="0" applyFont="1" applyAlignment="1">
      <alignment horizontal="left" vertical="top"/>
    </xf>
    <xf numFmtId="0" fontId="3" fillId="0" borderId="7" xfId="0" applyFont="1" applyBorder="1" applyAlignment="1">
      <alignment horizontal="center" vertical="top"/>
    </xf>
    <xf numFmtId="0" fontId="3" fillId="0" borderId="7" xfId="0" applyFont="1" applyBorder="1" applyAlignment="1">
      <alignment horizontal="left" vertical="top"/>
    </xf>
    <xf numFmtId="0" fontId="3" fillId="0" borderId="5" xfId="0" applyFont="1" applyBorder="1" applyAlignment="1">
      <alignment horizontal="center" vertical="center"/>
    </xf>
    <xf numFmtId="0" fontId="3" fillId="0" borderId="7" xfId="0" applyFont="1" applyBorder="1" applyAlignment="1">
      <alignment horizontal="center" vertical="center"/>
    </xf>
    <xf numFmtId="2" fontId="3" fillId="0" borderId="7" xfId="0" applyNumberFormat="1" applyFont="1" applyBorder="1" applyAlignment="1">
      <alignment horizontal="center" vertical="center"/>
    </xf>
    <xf numFmtId="10" fontId="3" fillId="0" borderId="7" xfId="2" applyNumberFormat="1" applyFont="1" applyFill="1" applyBorder="1" applyAlignment="1">
      <alignment horizontal="center" vertical="center"/>
    </xf>
    <xf numFmtId="9" fontId="3" fillId="0" borderId="7" xfId="2" applyFont="1" applyFill="1" applyBorder="1" applyAlignment="1">
      <alignment vertical="center"/>
    </xf>
    <xf numFmtId="9" fontId="3" fillId="0" borderId="5" xfId="2" applyFont="1" applyFill="1" applyBorder="1" applyAlignment="1">
      <alignment vertical="center"/>
    </xf>
    <xf numFmtId="0" fontId="12" fillId="3" borderId="10" xfId="0" applyFont="1" applyFill="1" applyBorder="1" applyAlignment="1">
      <alignment horizontal="center"/>
    </xf>
    <xf numFmtId="0" fontId="12" fillId="3" borderId="11" xfId="0" applyFont="1" applyFill="1" applyBorder="1" applyAlignment="1">
      <alignment horizontal="center"/>
    </xf>
    <xf numFmtId="0" fontId="12" fillId="3" borderId="12" xfId="0" applyFont="1" applyFill="1" applyBorder="1" applyAlignment="1">
      <alignment horizontal="center"/>
    </xf>
    <xf numFmtId="0" fontId="11" fillId="0" borderId="0" xfId="0" applyFont="1" applyAlignment="1">
      <alignment horizontal="left" vertical="top"/>
    </xf>
    <xf numFmtId="10" fontId="14" fillId="0" borderId="5" xfId="2" applyNumberFormat="1" applyFont="1" applyFill="1" applyBorder="1" applyAlignment="1">
      <alignment horizontal="center" vertical="center"/>
    </xf>
  </cellXfs>
  <cellStyles count="26">
    <cellStyle name="Hyperlink" xfId="13" xr:uid="{00000000-000B-0000-0000-000008000000}"/>
    <cellStyle name="Millares" xfId="4" builtinId="3"/>
    <cellStyle name="Millares 2" xfId="3" xr:uid="{7FEFD7F7-5D06-4166-A64E-626D821B3794}"/>
    <cellStyle name="Millares 3" xfId="12" xr:uid="{BC148E5F-CF77-43FF-AEFA-BFAE3BAE48C8}"/>
    <cellStyle name="Moneda" xfId="1" builtinId="4"/>
    <cellStyle name="Moneda 2" xfId="18" xr:uid="{BE0339DA-F08F-41E7-B664-1EB43E4CB8F9}"/>
    <cellStyle name="Moneda 2 2" xfId="8" xr:uid="{2461798C-E78A-4211-9584-718DC5662CCF}"/>
    <cellStyle name="Moneda 2 2 24" xfId="19" xr:uid="{4F1773E8-CC66-4F2D-97AC-D83C1AB2A364}"/>
    <cellStyle name="Moneda 2 3" xfId="11" xr:uid="{C590BDFC-2F10-4352-8348-4430C79DEC47}"/>
    <cellStyle name="Moneda 3" xfId="9" xr:uid="{DA1F1902-0E53-4D53-AB60-5A45E17D84B8}"/>
    <cellStyle name="Moneda 4" xfId="15" xr:uid="{B45F6F23-E1B9-4929-A172-8AE79B0C1DFA}"/>
    <cellStyle name="Moneda 5" xfId="25" xr:uid="{DAA90DB1-916E-403C-AE89-9D872CE29054}"/>
    <cellStyle name="Moneda 9" xfId="21" xr:uid="{18C41BF7-72A1-4567-A388-475AC3888637}"/>
    <cellStyle name="Normal" xfId="0" builtinId="0"/>
    <cellStyle name="Normal 2" xfId="6" xr:uid="{469A3736-A0BE-4C8A-907F-80BFAC96739A}"/>
    <cellStyle name="Normal 2 2" xfId="17" xr:uid="{6A0C46C2-97DA-42E6-AD56-5FAF7331F910}"/>
    <cellStyle name="Normal 3" xfId="14" xr:uid="{2832DB16-115E-4835-B268-1818EF7DFABA}"/>
    <cellStyle name="Normal 3 2 2" xfId="23" xr:uid="{288E97DD-ECE6-4BE4-982B-259668E3A0AB}"/>
    <cellStyle name="Normal 4" xfId="7" xr:uid="{9FA38A91-345D-47EB-B592-ECCA53B1069C}"/>
    <cellStyle name="Normal 5" xfId="22" xr:uid="{CF22EB2C-D776-452A-8476-F2D7A5DD6C22}"/>
    <cellStyle name="Normal 6" xfId="24" xr:uid="{B6FA8585-679A-4890-BF07-4169A3EEB651}"/>
    <cellStyle name="Normal 79" xfId="20" xr:uid="{8773A15E-B271-488B-8A69-BCA62A054F9D}"/>
    <cellStyle name="Porcentaje" xfId="2" builtinId="5"/>
    <cellStyle name="Porcentaje 2" xfId="10" xr:uid="{97C1D7E0-85D1-4A5A-9CBF-B5A04C0DB94B}"/>
    <cellStyle name="Porcentaje 3" xfId="16" xr:uid="{0C138CC9-3095-4040-AA27-0134BE9DC07D}"/>
    <cellStyle name="Porcentaje 4" xfId="5" xr:uid="{DB691866-2977-4540-A3DE-4A711F4A98F8}"/>
  </cellStyles>
  <dxfs count="77">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outline="0">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medium">
          <color indexed="64"/>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alignment horizontal="general" vertical="center" textRotation="0" wrapText="0" indent="0" justifyLastLine="0" shrinkToFit="0" readingOrder="0"/>
      <border diagonalUp="0" diagonalDown="0" outline="0">
        <left style="thin">
          <color theme="1"/>
        </left>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general"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3" formatCode="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4" formatCode="0.0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2" formatCode="0.00"/>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0" formatCode="@"/>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outline="0">
        <left/>
        <right style="thin">
          <color theme="1"/>
        </right>
        <top style="thin">
          <color theme="1"/>
        </top>
        <bottom/>
      </border>
    </dxf>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general"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indexed="65"/>
        </patternFill>
      </fill>
      <alignment horizontal="general" vertical="center" textRotation="0" wrapText="0" indent="0" justifyLastLine="0" shrinkToFit="0" readingOrder="0"/>
      <border diagonalUp="0" diagonalDown="0">
        <left style="thin">
          <color theme="1"/>
        </left>
        <right/>
        <top style="thin">
          <color theme="1"/>
        </top>
        <bottom/>
        <vertical/>
        <horizontal/>
      </border>
    </dxf>
    <dxf>
      <font>
        <b val="0"/>
        <i val="0"/>
        <strike val="0"/>
        <condense val="0"/>
        <extend val="0"/>
        <outline val="0"/>
        <shadow val="0"/>
        <u val="none"/>
        <vertAlign val="baseline"/>
        <sz val="10"/>
        <color theme="1"/>
        <name val="Arial"/>
        <family val="2"/>
        <scheme val="none"/>
      </font>
      <numFmt numFmtId="35" formatCode="_-* #,##0.00_-;\-* #,##0.00_-;_-* &quot;-&quot;??_-;_-@_-"/>
      <fill>
        <patternFill patternType="none">
          <fgColor indexed="64"/>
          <bgColor auto="1"/>
        </patternFill>
      </fill>
      <alignment horizontal="general" vertical="center" textRotation="0" wrapText="0" indent="0" justifyLastLine="0" shrinkToFit="0" readingOrder="0"/>
      <border diagonalUp="0" diagonalDown="0">
        <left style="thin">
          <color theme="1"/>
        </left>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general"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general"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general"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70" formatCode="[$-409]d\-mmm\-yy;@"/>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35" formatCode="_-* #,##0.00_-;\-* #,##0.00_-;_-* &quot;-&quot;??_-;_-@_-"/>
      <fill>
        <patternFill patternType="none">
          <fgColor indexed="64"/>
          <bgColor auto="1"/>
        </patternFill>
      </fill>
      <alignment horizontal="center" vertical="center" textRotation="0" wrapText="0" indent="0" justifyLastLine="0" shrinkToFit="0" readingOrder="0"/>
      <border diagonalUp="0" diagonalDown="0" outline="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165" formatCode="_-&quot;$&quot;* #,##0.00_-;\-&quot;$&quot;* #,##0.00_-;_-&quot;$&quot;* &quot;-&quot;??_-;_-@_-"/>
      <fill>
        <patternFill patternType="none">
          <fgColor indexed="64"/>
          <bgColor auto="1"/>
        </patternFill>
      </fill>
      <alignment horizontal="center"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bottom/>
        <vertical/>
        <horizontal/>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alignment horizontal="center" vertical="top"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1"/>
        </left>
        <right style="thin">
          <color theme="1"/>
        </right>
        <top style="thin">
          <color theme="1"/>
        </top>
        <bottom/>
      </border>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auto="1"/>
        </patternFill>
      </fill>
      <alignment horizontal="center" vertical="top" textRotation="0" wrapText="0" indent="0" justifyLastLine="0" shrinkToFit="0" readingOrder="0"/>
      <border diagonalUp="0" diagonalDown="0">
        <left style="thin">
          <color theme="1"/>
        </left>
        <right style="thin">
          <color theme="1"/>
        </right>
        <top style="thin">
          <color theme="1"/>
        </top>
        <bottom/>
      </border>
    </dxf>
    <dxf>
      <border outline="0">
        <top style="thin">
          <color theme="1"/>
        </top>
      </border>
    </dxf>
    <dxf>
      <border outline="0">
        <left style="thin">
          <color indexed="64"/>
        </left>
        <right style="thin">
          <color theme="1"/>
        </right>
        <top style="thin">
          <color indexed="64"/>
        </top>
        <bottom style="thin">
          <color theme="1"/>
        </bottom>
      </border>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general" vertical="center" textRotation="0" wrapText="0" indent="0" justifyLastLine="0" shrinkToFit="0" readingOrder="0"/>
    </dxf>
    <dxf>
      <border outline="0">
        <bottom style="medium">
          <color theme="1"/>
        </bottom>
      </border>
    </dxf>
    <dxf>
      <font>
        <b/>
        <i val="0"/>
        <strike val="0"/>
        <condense val="0"/>
        <extend val="0"/>
        <outline val="0"/>
        <shadow val="0"/>
        <u val="none"/>
        <vertAlign val="baseline"/>
        <sz val="10"/>
        <color theme="1"/>
        <name val="Arial"/>
        <family val="2"/>
        <scheme val="none"/>
      </font>
      <fill>
        <patternFill patternType="solid">
          <fgColor indexed="64"/>
          <bgColor theme="2"/>
        </patternFill>
      </fill>
      <alignment horizontal="center" vertical="center" textRotation="0" wrapText="1" indent="0" justifyLastLine="0" shrinkToFit="0" readingOrder="0"/>
      <border diagonalUp="0" diagonalDown="0" outline="0">
        <left style="thin">
          <color theme="1"/>
        </left>
        <right style="thin">
          <color theme="1"/>
        </right>
        <top/>
        <bottom/>
      </border>
    </dxf>
  </dxfs>
  <tableStyles count="0" defaultTableStyle="TableStyleMedium2" defaultPivotStyle="PivotStyleLight16"/>
  <colors>
    <mruColors>
      <color rgb="FFFF6565"/>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83F8E-2944-409A-BAC6-F3EAEE324D5C}" name="Tabla2" displayName="Tabla2" ref="B8:AJ189" totalsRowCount="1" headerRowDxfId="76" dataDxfId="74" headerRowBorderDxfId="75" tableBorderDxfId="73" totalsRowBorderDxfId="72" headerRowCellStyle="Moneda" dataCellStyle="Moneda">
  <tableColumns count="35">
    <tableColumn id="1" xr3:uid="{086E0E24-CEEF-4A37-86D0-89682A548C95}" name="PROYECTO" dataDxfId="0" totalsRowDxfId="35"/>
    <tableColumn id="2" xr3:uid="{31A3067A-8231-4AA6-9A04-349727367091}" name="NIVEL" dataDxfId="71" totalsRowDxfId="34"/>
    <tableColumn id="3" xr3:uid="{8774178C-A388-4968-962F-CC317B775267}" name="SUBNIVEL" dataDxfId="70" totalsRowDxfId="33"/>
    <tableColumn id="4" xr3:uid="{8C1AB888-065A-4B9D-A879-03D93F981C2F}" name="FAMILIA" dataDxfId="69" totalsRowDxfId="32"/>
    <tableColumn id="5" xr3:uid="{E5A2DE0D-6C3F-4189-ABEE-DF2C743EE5DD}" name="SUBFAMILIA" dataDxfId="68" totalsRowDxfId="31"/>
    <tableColumn id="35" xr3:uid="{6464A7BE-AC8B-46CF-B938-FACCDA92E6BB}" name="CLAVE" dataDxfId="67" totalsRowDxfId="30"/>
    <tableColumn id="6" xr3:uid="{C22841B8-05BA-4D87-AF02-6014879855E9}" name="CODIGO OPUS" dataDxfId="66" totalsRowDxfId="29"/>
    <tableColumn id="7" xr3:uid="{66FF3510-0B8A-4269-ABD5-2D8F6B5F68A4}" name="CONCEPTO" dataDxfId="65" totalsRowDxfId="28"/>
    <tableColumn id="8" xr3:uid="{5E603397-1E6C-4559-8217-7881A54B1CB7}" name="UNIDAD" dataDxfId="64" totalsRowDxfId="27"/>
    <tableColumn id="9" xr3:uid="{29F54B5C-90D1-4D94-A54C-9B82FA874A92}" name="CANTIDAD" totalsRowFunction="sum" dataDxfId="63" totalsRowDxfId="26"/>
    <tableColumn id="10" xr3:uid="{E8998357-B8FB-4E1D-9AD9-CC5CE9054F91}" name="C.U. MO" dataDxfId="62" totalsRowDxfId="25" dataCellStyle="Porcentaje"/>
    <tableColumn id="11" xr3:uid="{78CDEF5A-A538-4CA6-A132-9A24C56CC3E7}" name="C.U." dataDxfId="61" totalsRowDxfId="24" dataCellStyle="Porcentaje"/>
    <tableColumn id="12" xr3:uid="{37BF8942-F92E-43A9-98E0-F80D7E44BB98}" name="P.U." dataDxfId="60" totalsRowDxfId="23" dataCellStyle="Moneda"/>
    <tableColumn id="13" xr3:uid="{4A655330-A3F9-4B3E-833E-27C703A247BE}" name="Costo MO Total" totalsRowFunction="sum" dataDxfId="59" totalsRowDxfId="22" dataCellStyle="Moneda"/>
    <tableColumn id="14" xr3:uid="{1E9D1C04-C74F-44DD-9A43-A5C6A3CD1A75}" name="Costo Total" dataDxfId="58" totalsRowDxfId="21" dataCellStyle="Moneda"/>
    <tableColumn id="15" xr3:uid="{AB1F18D9-E681-4CF8-A01F-A5C2EA4EE3F2}" name="Importe" totalsRowFunction="sum" dataDxfId="57" totalsRowDxfId="20" dataCellStyle="Moneda"/>
    <tableColumn id="16" xr3:uid="{366A5DBE-F6DC-4715-B7FF-BB0464B7653C}" name="Dias de Actividad" dataDxfId="56" totalsRowDxfId="19" dataCellStyle="Millares"/>
    <tableColumn id="17" xr3:uid="{4EE4B692-0BF4-4CC6-90FD-C37855B26B1B}" name="Fecha Programada de Inicio" dataDxfId="55" totalsRowDxfId="18"/>
    <tableColumn id="18" xr3:uid="{2A59F126-ED56-4B7D-A7A7-F37633B25C2B}" name="Fecha Programada de Termino" dataDxfId="54" totalsRowDxfId="17"/>
    <tableColumn id="19" xr3:uid="{587A2ADE-1695-490E-964F-2F118276384E}" name="Semana Programada Inicio" dataDxfId="53" totalsRowDxfId="16"/>
    <tableColumn id="20" xr3:uid="{93D2EC1F-477F-475D-9329-0C2603BA2EE2}" name="Semana Programada Termino" dataDxfId="52" totalsRowDxfId="15" dataCellStyle="Porcentaje"/>
    <tableColumn id="21" xr3:uid="{54AC9E9E-1C4D-47D2-826F-9E07977DE0E2}" name="Fecha Real de Inicio" dataDxfId="51" totalsRowDxfId="14"/>
    <tableColumn id="22" xr3:uid="{C49CECC0-96D1-4EB4-8B9B-D5D4D5A09A98}" name="Fecha Real de Termino" dataDxfId="50" totalsRowDxfId="13"/>
    <tableColumn id="23" xr3:uid="{9945F98A-9D8F-4B97-882E-0E78DD06B53F}" name="Semana Real Inicio" dataDxfId="49" totalsRowDxfId="12" dataCellStyle="Millares"/>
    <tableColumn id="24" xr3:uid="{66DA9EA5-B086-421E-B739-6373680DD31F}" name="Semana Real Termino" dataDxfId="48" totalsRowDxfId="11" dataCellStyle="Millares"/>
    <tableColumn id="25" xr3:uid="{5F4B14D6-E89D-4635-801B-373E33F6DF83}" name="Planeado" dataDxfId="47" totalsRowDxfId="10" dataCellStyle="Porcentaje"/>
    <tableColumn id="26" xr3:uid="{0D569219-6520-4009-9DE3-0272BFF062A5}" name="Ejecutado" dataDxfId="46" totalsRowDxfId="9" dataCellStyle="Porcentaje"/>
    <tableColumn id="27" xr3:uid="{1F5D2C63-366A-4482-A3B2-429362E0C9AB}" name="Desface" dataDxfId="45" totalsRowDxfId="8" dataCellStyle="Porcentaje"/>
    <tableColumn id="28" xr3:uid="{557A7ED8-DD1F-4359-8300-C187FB0738C1}" name="Importe Planeado" dataDxfId="44" totalsRowDxfId="7" dataCellStyle="Moneda"/>
    <tableColumn id="29" xr3:uid="{1890BA4C-C5C2-489B-AB27-1296B7489C1F}" name="Importe Ejecutado" dataDxfId="43" totalsRowDxfId="6" dataCellStyle="Moneda"/>
    <tableColumn id="30" xr3:uid="{4D2C1E4C-A12B-4886-B178-74C80155BE4E}" name="Importe Desfase" dataDxfId="42" totalsRowDxfId="5" dataCellStyle="Moneda"/>
    <tableColumn id="31" xr3:uid="{DBF31D91-B780-4ADB-B099-86844975FC65}" name="AVANCE TOTAL" dataDxfId="41" totalsRowDxfId="4" dataCellStyle="Millares"/>
    <tableColumn id="32" xr3:uid="{0F03DC72-FE59-4A41-9803-3B8332A13A58}" name="CANTIDAD AVANCE 01" dataDxfId="40" totalsRowDxfId="3" dataCellStyle="Millares"/>
    <tableColumn id="33" xr3:uid="{FE943EF4-996D-4A56-8257-874AF4D77325}" name="PORCENTAJE DE AVANCE 01" dataDxfId="39" totalsRowDxfId="2" dataCellStyle="Porcentaje"/>
    <tableColumn id="34" xr3:uid="{87370266-4707-4568-BC5A-994D42ABA3E8}" name="IMPORTE DE AVANCE 01" dataDxfId="38" totalsRowDxfId="1" dataCellStyle="Moneda"/>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BC2A-2179-4896-B009-51D9B8FED682}">
  <sheetPr>
    <tabColor theme="4" tint="0.39997558519241921"/>
  </sheetPr>
  <dimension ref="B1:AJ189"/>
  <sheetViews>
    <sheetView showGridLines="0" tabSelected="1" topLeftCell="B1" zoomScale="80" zoomScaleNormal="80" workbookViewId="0">
      <pane ySplit="8" topLeftCell="A9" activePane="bottomLeft" state="frozen"/>
      <selection activeCell="B1" sqref="B1"/>
      <selection pane="bottomLeft" activeCell="B2" sqref="B2"/>
    </sheetView>
  </sheetViews>
  <sheetFormatPr baseColWidth="10" defaultColWidth="9" defaultRowHeight="14.4"/>
  <cols>
    <col min="1" max="1" width="1.5546875" customWidth="1"/>
    <col min="2" max="2" width="12" customWidth="1"/>
    <col min="3" max="3" width="17.6640625" customWidth="1"/>
    <col min="4" max="4" width="16.5546875" style="42" customWidth="1"/>
    <col min="5" max="5" width="24.88671875" style="42" customWidth="1"/>
    <col min="6" max="6" width="18.6640625" customWidth="1"/>
    <col min="7" max="7" width="13.6640625" customWidth="1"/>
    <col min="8" max="8" width="20.109375" bestFit="1" customWidth="1"/>
    <col min="9" max="9" width="68.88671875" customWidth="1"/>
    <col min="11" max="12" width="12.109375" customWidth="1"/>
    <col min="13" max="13" width="14.109375" customWidth="1"/>
    <col min="14" max="14" width="13.44140625" customWidth="1"/>
    <col min="15" max="15" width="16.109375" customWidth="1"/>
    <col min="16" max="16" width="16" customWidth="1"/>
    <col min="17" max="17" width="15.88671875" customWidth="1"/>
    <col min="18" max="18" width="10.88671875" style="43" customWidth="1"/>
    <col min="19" max="22" width="20.5546875" customWidth="1"/>
    <col min="23" max="23" width="12" customWidth="1"/>
    <col min="24" max="24" width="12.44140625" customWidth="1"/>
    <col min="25" max="25" width="13.6640625" customWidth="1"/>
    <col min="26" max="26" width="13.88671875" customWidth="1"/>
    <col min="27" max="33" width="15.6640625" customWidth="1"/>
    <col min="34" max="34" width="12.109375" customWidth="1"/>
    <col min="35" max="35" width="14.44140625" customWidth="1"/>
    <col min="36" max="36" width="21.33203125" bestFit="1" customWidth="1"/>
  </cols>
  <sheetData>
    <row r="1" spans="2:36" ht="17.399999999999999">
      <c r="B1" s="3" t="s">
        <v>390</v>
      </c>
    </row>
    <row r="2" spans="2:36" ht="17.399999999999999">
      <c r="B2" s="3" t="s">
        <v>14</v>
      </c>
    </row>
    <row r="3" spans="2:36" ht="17.399999999999999">
      <c r="B3" s="3" t="s">
        <v>0</v>
      </c>
      <c r="D3" s="74"/>
      <c r="E3" s="74"/>
      <c r="F3" s="74"/>
      <c r="AH3" s="71" t="s">
        <v>15</v>
      </c>
      <c r="AI3" s="72"/>
      <c r="AJ3" s="73"/>
    </row>
    <row r="4" spans="2:36" ht="17.399999999999999">
      <c r="B4" s="3" t="s">
        <v>1</v>
      </c>
      <c r="AH4" s="44"/>
      <c r="AJ4" s="45"/>
    </row>
    <row r="5" spans="2:36" ht="17.399999999999999">
      <c r="B5" s="3" t="s">
        <v>2</v>
      </c>
      <c r="AH5" s="44" t="s">
        <v>16</v>
      </c>
      <c r="AJ5" s="45"/>
    </row>
    <row r="6" spans="2:36" ht="15.6">
      <c r="B6" s="4" t="s">
        <v>3</v>
      </c>
      <c r="AH6" s="44" t="s">
        <v>17</v>
      </c>
      <c r="AJ6" s="45"/>
    </row>
    <row r="7" spans="2:36">
      <c r="C7" s="58"/>
      <c r="D7" s="59"/>
      <c r="E7" s="59"/>
      <c r="F7" s="58"/>
      <c r="H7" s="58"/>
      <c r="I7" s="58"/>
      <c r="J7" s="58"/>
      <c r="K7" s="58"/>
      <c r="L7" s="58"/>
      <c r="M7" s="58"/>
      <c r="N7" s="58"/>
      <c r="O7" s="60"/>
      <c r="P7" s="60"/>
      <c r="Q7" s="60"/>
      <c r="R7" s="61"/>
      <c r="S7" s="1" t="s">
        <v>18</v>
      </c>
      <c r="T7" s="1" t="s">
        <v>18</v>
      </c>
      <c r="U7" s="60"/>
      <c r="V7" s="60"/>
      <c r="W7" s="1" t="s">
        <v>18</v>
      </c>
      <c r="X7" s="1" t="s">
        <v>18</v>
      </c>
      <c r="Y7" s="60"/>
      <c r="Z7" s="60"/>
      <c r="AA7" s="60"/>
      <c r="AB7" s="60"/>
      <c r="AC7" s="60"/>
      <c r="AD7" s="60"/>
      <c r="AE7" s="60"/>
      <c r="AF7" s="60"/>
      <c r="AG7" s="60"/>
      <c r="AH7" s="44"/>
      <c r="AJ7" s="45"/>
    </row>
    <row r="8" spans="2:36" s="5" customFormat="1" ht="27" thickBot="1">
      <c r="B8" s="6" t="s">
        <v>4</v>
      </c>
      <c r="C8" s="7" t="s">
        <v>5</v>
      </c>
      <c r="D8" s="7" t="s">
        <v>6</v>
      </c>
      <c r="E8" s="41" t="s">
        <v>7</v>
      </c>
      <c r="F8" s="7" t="s">
        <v>8</v>
      </c>
      <c r="G8" s="7" t="s">
        <v>9</v>
      </c>
      <c r="H8" s="7" t="s">
        <v>10</v>
      </c>
      <c r="I8" s="7" t="s">
        <v>11</v>
      </c>
      <c r="J8" s="8" t="s">
        <v>12</v>
      </c>
      <c r="K8" s="8" t="s">
        <v>13</v>
      </c>
      <c r="L8" s="12" t="s">
        <v>19</v>
      </c>
      <c r="M8" s="12" t="s">
        <v>20</v>
      </c>
      <c r="N8" s="12" t="s">
        <v>21</v>
      </c>
      <c r="O8" s="12" t="s">
        <v>22</v>
      </c>
      <c r="P8" s="12" t="s">
        <v>23</v>
      </c>
      <c r="Q8" s="40" t="s">
        <v>24</v>
      </c>
      <c r="R8" s="12" t="s">
        <v>25</v>
      </c>
      <c r="S8" s="10" t="s">
        <v>26</v>
      </c>
      <c r="T8" s="10" t="s">
        <v>27</v>
      </c>
      <c r="U8" s="10" t="s">
        <v>28</v>
      </c>
      <c r="V8" s="10" t="s">
        <v>29</v>
      </c>
      <c r="W8" s="10" t="s">
        <v>30</v>
      </c>
      <c r="X8" s="10" t="s">
        <v>31</v>
      </c>
      <c r="Y8" s="10" t="s">
        <v>32</v>
      </c>
      <c r="Z8" s="10" t="s">
        <v>33</v>
      </c>
      <c r="AA8" s="7" t="s">
        <v>34</v>
      </c>
      <c r="AB8" s="7" t="s">
        <v>35</v>
      </c>
      <c r="AC8" s="7" t="s">
        <v>36</v>
      </c>
      <c r="AD8" s="9" t="s">
        <v>37</v>
      </c>
      <c r="AE8" s="9" t="s">
        <v>38</v>
      </c>
      <c r="AF8" s="9" t="s">
        <v>39</v>
      </c>
      <c r="AG8" s="11" t="s">
        <v>40</v>
      </c>
      <c r="AH8" s="48" t="s">
        <v>41</v>
      </c>
      <c r="AI8" s="9" t="s">
        <v>42</v>
      </c>
      <c r="AJ8" s="49" t="s">
        <v>43</v>
      </c>
    </row>
    <row r="9" spans="2:36">
      <c r="B9" s="62" t="s">
        <v>389</v>
      </c>
      <c r="C9" s="14" t="s">
        <v>204</v>
      </c>
      <c r="D9" s="16" t="s">
        <v>204</v>
      </c>
      <c r="E9" s="16" t="s">
        <v>53</v>
      </c>
      <c r="F9" s="16" t="s">
        <v>55</v>
      </c>
      <c r="G9" s="2" t="s">
        <v>209</v>
      </c>
      <c r="H9" s="43" t="s">
        <v>62</v>
      </c>
      <c r="I9" s="16" t="s">
        <v>78</v>
      </c>
      <c r="J9" s="17" t="s">
        <v>79</v>
      </c>
      <c r="K9" s="17">
        <v>18</v>
      </c>
      <c r="L9" s="18">
        <v>30.408000000000001</v>
      </c>
      <c r="M9" s="18">
        <v>93.408000000000001</v>
      </c>
      <c r="N9" s="19">
        <v>146.83000000000001</v>
      </c>
      <c r="O9" s="20">
        <v>547.34400000000005</v>
      </c>
      <c r="P9" s="20">
        <v>1681.3440000000001</v>
      </c>
      <c r="Q9" s="20">
        <v>2642.94</v>
      </c>
      <c r="R9" s="47">
        <v>2</v>
      </c>
      <c r="S9" s="21">
        <v>46060</v>
      </c>
      <c r="T9" s="21">
        <v>46062</v>
      </c>
      <c r="U9" s="22">
        <v>6</v>
      </c>
      <c r="V9" s="23">
        <v>7</v>
      </c>
      <c r="W9" s="21">
        <v>46062</v>
      </c>
      <c r="X9" s="21">
        <v>46064</v>
      </c>
      <c r="Y9" s="24">
        <v>7</v>
      </c>
      <c r="Z9" s="24">
        <v>7</v>
      </c>
      <c r="AA9" s="25">
        <v>1</v>
      </c>
      <c r="AB9" s="26">
        <v>5.5555555555555552E-2</v>
      </c>
      <c r="AC9" s="27">
        <v>-0.94444444444444442</v>
      </c>
      <c r="AD9" s="28">
        <v>2642.94</v>
      </c>
      <c r="AE9" s="28">
        <v>146.82999999999998</v>
      </c>
      <c r="AF9" s="28">
        <v>2496.11</v>
      </c>
      <c r="AG9" s="29">
        <v>1</v>
      </c>
      <c r="AH9" s="29">
        <v>1</v>
      </c>
      <c r="AI9" s="69">
        <v>5.5555555555555552E-2</v>
      </c>
      <c r="AJ9" s="46">
        <v>146.83000000000001</v>
      </c>
    </row>
    <row r="10" spans="2:36">
      <c r="B10" s="62" t="s">
        <v>389</v>
      </c>
      <c r="C10" s="14" t="s">
        <v>204</v>
      </c>
      <c r="D10" s="16" t="s">
        <v>204</v>
      </c>
      <c r="E10" s="16" t="s">
        <v>53</v>
      </c>
      <c r="F10" s="16" t="s">
        <v>55</v>
      </c>
      <c r="G10" s="2" t="s">
        <v>210</v>
      </c>
      <c r="H10" s="43" t="s">
        <v>60</v>
      </c>
      <c r="I10" s="16" t="s">
        <v>80</v>
      </c>
      <c r="J10" s="17" t="s">
        <v>79</v>
      </c>
      <c r="K10" s="17">
        <v>27</v>
      </c>
      <c r="L10" s="18">
        <v>30.408000000000001</v>
      </c>
      <c r="M10" s="18">
        <v>107.27800000000001</v>
      </c>
      <c r="N10" s="19">
        <v>166.76</v>
      </c>
      <c r="O10" s="20">
        <v>821.01600000000008</v>
      </c>
      <c r="P10" s="20">
        <v>2896.5060000000003</v>
      </c>
      <c r="Q10" s="20">
        <v>4502.5199999999995</v>
      </c>
      <c r="R10" s="47">
        <v>10</v>
      </c>
      <c r="S10" s="21">
        <v>46061</v>
      </c>
      <c r="T10" s="21">
        <v>46071</v>
      </c>
      <c r="U10" s="22">
        <v>6</v>
      </c>
      <c r="V10" s="23">
        <v>8</v>
      </c>
      <c r="W10" s="21">
        <v>46063</v>
      </c>
      <c r="X10" s="21">
        <v>46073</v>
      </c>
      <c r="Y10" s="24">
        <v>7</v>
      </c>
      <c r="Z10" s="24">
        <v>8</v>
      </c>
      <c r="AA10" s="25">
        <v>1</v>
      </c>
      <c r="AB10" s="26">
        <v>0.92592592592592593</v>
      </c>
      <c r="AC10" s="27">
        <v>-7.407407407407407E-2</v>
      </c>
      <c r="AD10" s="28">
        <v>4502.5199999999995</v>
      </c>
      <c r="AE10" s="28">
        <v>4169</v>
      </c>
      <c r="AF10" s="28">
        <v>333.51999999999953</v>
      </c>
      <c r="AG10" s="29">
        <v>25</v>
      </c>
      <c r="AH10" s="29">
        <v>25</v>
      </c>
      <c r="AI10" s="69">
        <v>0.92592592592592593</v>
      </c>
      <c r="AJ10" s="46">
        <v>4169</v>
      </c>
    </row>
    <row r="11" spans="2:36">
      <c r="B11" s="62" t="s">
        <v>389</v>
      </c>
      <c r="C11" s="14" t="s">
        <v>204</v>
      </c>
      <c r="D11" s="16" t="s">
        <v>204</v>
      </c>
      <c r="E11" s="16" t="s">
        <v>53</v>
      </c>
      <c r="F11" s="16" t="s">
        <v>55</v>
      </c>
      <c r="G11" s="2" t="s">
        <v>211</v>
      </c>
      <c r="H11" s="43" t="s">
        <v>61</v>
      </c>
      <c r="I11" s="16" t="s">
        <v>81</v>
      </c>
      <c r="J11" s="17" t="s">
        <v>79</v>
      </c>
      <c r="K11" s="17">
        <v>30</v>
      </c>
      <c r="L11" s="18">
        <v>30.408000000000001</v>
      </c>
      <c r="M11" s="30">
        <v>114.318</v>
      </c>
      <c r="N11" s="31">
        <v>176.88</v>
      </c>
      <c r="O11" s="32">
        <v>912.24</v>
      </c>
      <c r="P11" s="32">
        <v>3429.54</v>
      </c>
      <c r="Q11" s="32">
        <v>5306.4</v>
      </c>
      <c r="R11" s="47">
        <v>5</v>
      </c>
      <c r="S11" s="21">
        <v>46064</v>
      </c>
      <c r="T11" s="33">
        <v>46069</v>
      </c>
      <c r="U11" s="34">
        <v>7</v>
      </c>
      <c r="V11" s="35">
        <v>8</v>
      </c>
      <c r="W11" s="33">
        <v>46065</v>
      </c>
      <c r="X11" s="33">
        <v>46070</v>
      </c>
      <c r="Y11" s="36">
        <v>7</v>
      </c>
      <c r="Z11" s="36">
        <v>8</v>
      </c>
      <c r="AA11" s="25">
        <v>1</v>
      </c>
      <c r="AB11" s="37">
        <v>0.2</v>
      </c>
      <c r="AC11" s="38">
        <v>-0.8</v>
      </c>
      <c r="AD11" s="39">
        <v>5306.4</v>
      </c>
      <c r="AE11" s="39">
        <v>1061.28</v>
      </c>
      <c r="AF11" s="39">
        <v>4245.12</v>
      </c>
      <c r="AG11" s="29">
        <v>6</v>
      </c>
      <c r="AH11" s="29">
        <v>6</v>
      </c>
      <c r="AI11" s="69">
        <v>0.2</v>
      </c>
      <c r="AJ11" s="46">
        <v>1061.28</v>
      </c>
    </row>
    <row r="12" spans="2:36">
      <c r="B12" s="62" t="s">
        <v>389</v>
      </c>
      <c r="C12" s="14" t="s">
        <v>204</v>
      </c>
      <c r="D12" s="16" t="s">
        <v>204</v>
      </c>
      <c r="E12" s="16" t="s">
        <v>58</v>
      </c>
      <c r="F12" s="16" t="s">
        <v>208</v>
      </c>
      <c r="G12" s="2" t="s">
        <v>212</v>
      </c>
      <c r="H12" s="43" t="s">
        <v>82</v>
      </c>
      <c r="I12" s="16" t="s">
        <v>83</v>
      </c>
      <c r="J12" s="17" t="s">
        <v>84</v>
      </c>
      <c r="K12" s="17">
        <v>1</v>
      </c>
      <c r="L12" s="18">
        <v>12718.392</v>
      </c>
      <c r="M12" s="30">
        <v>13195.332</v>
      </c>
      <c r="N12" s="31">
        <v>24224.58</v>
      </c>
      <c r="O12" s="32">
        <v>12718.392</v>
      </c>
      <c r="P12" s="32">
        <v>13195.332</v>
      </c>
      <c r="Q12" s="32">
        <v>24224.58</v>
      </c>
      <c r="R12" s="47">
        <v>8</v>
      </c>
      <c r="S12" s="21">
        <v>46067</v>
      </c>
      <c r="T12" s="33">
        <v>46075</v>
      </c>
      <c r="U12" s="34">
        <v>7</v>
      </c>
      <c r="V12" s="35">
        <v>8</v>
      </c>
      <c r="W12" s="33">
        <v>46069</v>
      </c>
      <c r="X12" s="33">
        <v>46077</v>
      </c>
      <c r="Y12" s="36">
        <v>8</v>
      </c>
      <c r="Z12" s="36">
        <v>9</v>
      </c>
      <c r="AA12" s="25">
        <v>1</v>
      </c>
      <c r="AB12" s="37">
        <v>0</v>
      </c>
      <c r="AC12" s="38">
        <v>-1</v>
      </c>
      <c r="AD12" s="39">
        <v>24224.58</v>
      </c>
      <c r="AE12" s="39">
        <v>0</v>
      </c>
      <c r="AF12" s="39">
        <v>24224.58</v>
      </c>
      <c r="AG12" s="29">
        <v>0</v>
      </c>
      <c r="AH12" s="29">
        <v>0</v>
      </c>
      <c r="AI12" s="69">
        <v>0</v>
      </c>
      <c r="AJ12" s="46">
        <v>0</v>
      </c>
    </row>
    <row r="13" spans="2:36">
      <c r="B13" s="62" t="s">
        <v>389</v>
      </c>
      <c r="C13" s="14" t="s">
        <v>204</v>
      </c>
      <c r="D13" s="16" t="s">
        <v>204</v>
      </c>
      <c r="E13" s="16" t="s">
        <v>53</v>
      </c>
      <c r="F13" s="16" t="s">
        <v>56</v>
      </c>
      <c r="G13" s="2" t="s">
        <v>213</v>
      </c>
      <c r="H13" s="43" t="s">
        <v>85</v>
      </c>
      <c r="I13" s="16" t="s">
        <v>86</v>
      </c>
      <c r="J13" s="17" t="s">
        <v>84</v>
      </c>
      <c r="K13" s="17">
        <v>1</v>
      </c>
      <c r="L13" s="18">
        <v>0</v>
      </c>
      <c r="M13" s="30">
        <v>34</v>
      </c>
      <c r="N13" s="31">
        <v>48.88</v>
      </c>
      <c r="O13" s="32">
        <v>0</v>
      </c>
      <c r="P13" s="32">
        <v>34</v>
      </c>
      <c r="Q13" s="32">
        <v>48.88</v>
      </c>
      <c r="R13" s="47">
        <v>7</v>
      </c>
      <c r="S13" s="21">
        <v>46069</v>
      </c>
      <c r="T13" s="33">
        <v>46076</v>
      </c>
      <c r="U13" s="34">
        <v>8</v>
      </c>
      <c r="V13" s="35">
        <v>9</v>
      </c>
      <c r="W13" s="33">
        <v>46069</v>
      </c>
      <c r="X13" s="33">
        <v>46076</v>
      </c>
      <c r="Y13" s="36">
        <v>8</v>
      </c>
      <c r="Z13" s="36">
        <v>9</v>
      </c>
      <c r="AA13" s="25">
        <v>1</v>
      </c>
      <c r="AB13" s="37">
        <v>0</v>
      </c>
      <c r="AC13" s="38">
        <v>-1</v>
      </c>
      <c r="AD13" s="39">
        <v>48.88</v>
      </c>
      <c r="AE13" s="39">
        <v>0</v>
      </c>
      <c r="AF13" s="39">
        <v>48.88</v>
      </c>
      <c r="AG13" s="29">
        <v>0</v>
      </c>
      <c r="AH13" s="29">
        <v>0</v>
      </c>
      <c r="AI13" s="69">
        <v>0</v>
      </c>
      <c r="AJ13" s="46">
        <v>0</v>
      </c>
    </row>
    <row r="14" spans="2:36">
      <c r="B14" s="62" t="s">
        <v>389</v>
      </c>
      <c r="C14" s="14" t="s">
        <v>204</v>
      </c>
      <c r="D14" s="16" t="s">
        <v>204</v>
      </c>
      <c r="E14" s="16" t="s">
        <v>53</v>
      </c>
      <c r="F14" s="16" t="s">
        <v>54</v>
      </c>
      <c r="G14" s="2" t="s">
        <v>214</v>
      </c>
      <c r="H14" s="43" t="s">
        <v>87</v>
      </c>
      <c r="I14" s="16" t="s">
        <v>88</v>
      </c>
      <c r="J14" s="17" t="s">
        <v>59</v>
      </c>
      <c r="K14" s="17">
        <v>773.7</v>
      </c>
      <c r="L14" s="18">
        <v>213.24</v>
      </c>
      <c r="M14" s="30">
        <v>569.37390600000003</v>
      </c>
      <c r="N14" s="31">
        <v>851.07297300000005</v>
      </c>
      <c r="O14" s="32">
        <v>164983.78800000003</v>
      </c>
      <c r="P14" s="32">
        <v>440524.59107220004</v>
      </c>
      <c r="Q14" s="32">
        <v>658475.15921010007</v>
      </c>
      <c r="R14" s="47">
        <v>10</v>
      </c>
      <c r="S14" s="21">
        <v>46070</v>
      </c>
      <c r="T14" s="33">
        <v>46080</v>
      </c>
      <c r="U14" s="34">
        <v>8</v>
      </c>
      <c r="V14" s="35">
        <v>9</v>
      </c>
      <c r="W14" s="33">
        <v>46071</v>
      </c>
      <c r="X14" s="33">
        <v>46081</v>
      </c>
      <c r="Y14" s="36">
        <v>8</v>
      </c>
      <c r="Z14" s="36">
        <v>9</v>
      </c>
      <c r="AA14" s="25">
        <v>1</v>
      </c>
      <c r="AB14" s="37">
        <v>0.64495282409202526</v>
      </c>
      <c r="AC14" s="38">
        <v>-0.35504717590797474</v>
      </c>
      <c r="AD14" s="39">
        <v>658475.15921010007</v>
      </c>
      <c r="AE14" s="39">
        <v>424685.413527</v>
      </c>
      <c r="AF14" s="39">
        <v>233789.74568310007</v>
      </c>
      <c r="AG14" s="29">
        <v>499</v>
      </c>
      <c r="AH14" s="29">
        <v>499</v>
      </c>
      <c r="AI14" s="69">
        <v>0.64495282409202526</v>
      </c>
      <c r="AJ14" s="46">
        <v>424685.413527</v>
      </c>
    </row>
    <row r="15" spans="2:36">
      <c r="B15" s="62" t="s">
        <v>389</v>
      </c>
      <c r="C15" s="14" t="s">
        <v>204</v>
      </c>
      <c r="D15" s="16" t="s">
        <v>204</v>
      </c>
      <c r="E15" s="16" t="s">
        <v>53</v>
      </c>
      <c r="F15" s="16" t="s">
        <v>55</v>
      </c>
      <c r="G15" s="2" t="s">
        <v>215</v>
      </c>
      <c r="H15" s="43" t="s">
        <v>89</v>
      </c>
      <c r="I15" s="16" t="s">
        <v>90</v>
      </c>
      <c r="J15" s="17" t="s">
        <v>84</v>
      </c>
      <c r="K15" s="17">
        <v>1</v>
      </c>
      <c r="L15" s="18">
        <v>0</v>
      </c>
      <c r="M15" s="30">
        <v>39458.699999999997</v>
      </c>
      <c r="N15" s="31">
        <v>56721.89</v>
      </c>
      <c r="O15" s="32">
        <v>0</v>
      </c>
      <c r="P15" s="32">
        <v>39458.699999999997</v>
      </c>
      <c r="Q15" s="32">
        <v>56721.89</v>
      </c>
      <c r="R15" s="47">
        <v>6</v>
      </c>
      <c r="S15" s="21">
        <v>46072</v>
      </c>
      <c r="T15" s="33">
        <v>46078</v>
      </c>
      <c r="U15" s="34">
        <v>8</v>
      </c>
      <c r="V15" s="35">
        <v>9</v>
      </c>
      <c r="W15" s="33">
        <v>46073</v>
      </c>
      <c r="X15" s="33">
        <v>46079</v>
      </c>
      <c r="Y15" s="36">
        <v>8</v>
      </c>
      <c r="Z15" s="36">
        <v>9</v>
      </c>
      <c r="AA15" s="25">
        <v>1</v>
      </c>
      <c r="AB15" s="37">
        <v>0</v>
      </c>
      <c r="AC15" s="38">
        <v>-1</v>
      </c>
      <c r="AD15" s="39">
        <v>56721.89</v>
      </c>
      <c r="AE15" s="39">
        <v>0</v>
      </c>
      <c r="AF15" s="39">
        <v>56721.89</v>
      </c>
      <c r="AG15" s="29">
        <v>0</v>
      </c>
      <c r="AH15" s="29">
        <v>0</v>
      </c>
      <c r="AI15" s="69">
        <v>0</v>
      </c>
      <c r="AJ15" s="46">
        <v>0</v>
      </c>
    </row>
    <row r="16" spans="2:36">
      <c r="B16" s="62" t="s">
        <v>389</v>
      </c>
      <c r="C16" s="14" t="s">
        <v>204</v>
      </c>
      <c r="D16" s="16" t="s">
        <v>204</v>
      </c>
      <c r="E16" s="16" t="s">
        <v>53</v>
      </c>
      <c r="F16" s="16" t="s">
        <v>56</v>
      </c>
      <c r="G16" s="2" t="s">
        <v>216</v>
      </c>
      <c r="H16" s="43" t="s">
        <v>65</v>
      </c>
      <c r="I16" s="16" t="s">
        <v>91</v>
      </c>
      <c r="J16" s="17" t="s">
        <v>92</v>
      </c>
      <c r="K16" s="17">
        <v>3</v>
      </c>
      <c r="L16" s="18">
        <v>256</v>
      </c>
      <c r="M16" s="30">
        <v>1256</v>
      </c>
      <c r="N16" s="31">
        <v>1911.3</v>
      </c>
      <c r="O16" s="32">
        <v>768</v>
      </c>
      <c r="P16" s="32">
        <v>3768</v>
      </c>
      <c r="Q16" s="32">
        <v>5733.9</v>
      </c>
      <c r="R16" s="47">
        <v>10</v>
      </c>
      <c r="S16" s="21">
        <v>46074</v>
      </c>
      <c r="T16" s="33">
        <v>46084</v>
      </c>
      <c r="U16" s="34">
        <v>8</v>
      </c>
      <c r="V16" s="35">
        <v>10</v>
      </c>
      <c r="W16" s="33">
        <v>46076</v>
      </c>
      <c r="X16" s="33">
        <v>46086</v>
      </c>
      <c r="Y16" s="36">
        <v>9</v>
      </c>
      <c r="Z16" s="36">
        <v>10</v>
      </c>
      <c r="AA16" s="25">
        <v>1</v>
      </c>
      <c r="AB16" s="37">
        <v>0.33333333333333331</v>
      </c>
      <c r="AC16" s="38">
        <v>-0.66666666666666674</v>
      </c>
      <c r="AD16" s="39">
        <v>5733.9</v>
      </c>
      <c r="AE16" s="39">
        <v>1911.2999999999997</v>
      </c>
      <c r="AF16" s="39">
        <v>3822.6</v>
      </c>
      <c r="AG16" s="29">
        <v>1</v>
      </c>
      <c r="AH16" s="29">
        <v>1</v>
      </c>
      <c r="AI16" s="69">
        <v>0.33333333333333331</v>
      </c>
      <c r="AJ16" s="46">
        <v>1911.3</v>
      </c>
    </row>
    <row r="17" spans="2:36">
      <c r="B17" s="62" t="s">
        <v>389</v>
      </c>
      <c r="C17" s="14" t="s">
        <v>204</v>
      </c>
      <c r="D17" s="16" t="s">
        <v>204</v>
      </c>
      <c r="E17" s="16" t="s">
        <v>53</v>
      </c>
      <c r="F17" s="16" t="s">
        <v>56</v>
      </c>
      <c r="G17" s="2" t="s">
        <v>217</v>
      </c>
      <c r="H17" s="43" t="s">
        <v>64</v>
      </c>
      <c r="I17" s="16" t="s">
        <v>93</v>
      </c>
      <c r="J17" s="17" t="s">
        <v>92</v>
      </c>
      <c r="K17" s="17">
        <v>7</v>
      </c>
      <c r="L17" s="18">
        <v>256</v>
      </c>
      <c r="M17" s="30">
        <v>1256</v>
      </c>
      <c r="N17" s="31">
        <v>1911.3</v>
      </c>
      <c r="O17" s="32">
        <v>1792</v>
      </c>
      <c r="P17" s="32">
        <v>8792</v>
      </c>
      <c r="Q17" s="32">
        <v>13379.1</v>
      </c>
      <c r="R17" s="47">
        <v>8</v>
      </c>
      <c r="S17" s="21">
        <v>46077</v>
      </c>
      <c r="T17" s="33">
        <v>46085</v>
      </c>
      <c r="U17" s="34">
        <v>9</v>
      </c>
      <c r="V17" s="35">
        <v>10</v>
      </c>
      <c r="W17" s="33">
        <v>46079</v>
      </c>
      <c r="X17" s="33">
        <v>46087</v>
      </c>
      <c r="Y17" s="36">
        <v>9</v>
      </c>
      <c r="Z17" s="36">
        <v>10</v>
      </c>
      <c r="AA17" s="25">
        <v>1</v>
      </c>
      <c r="AB17" s="37">
        <v>0.8571428571428571</v>
      </c>
      <c r="AC17" s="38">
        <v>-0.1428571428571429</v>
      </c>
      <c r="AD17" s="39">
        <v>13379.1</v>
      </c>
      <c r="AE17" s="39">
        <v>11467.8</v>
      </c>
      <c r="AF17" s="39">
        <v>1911.3000000000011</v>
      </c>
      <c r="AG17" s="29">
        <v>6</v>
      </c>
      <c r="AH17" s="29">
        <v>6</v>
      </c>
      <c r="AI17" s="69">
        <v>0.8571428571428571</v>
      </c>
      <c r="AJ17" s="46">
        <v>11467.8</v>
      </c>
    </row>
    <row r="18" spans="2:36">
      <c r="B18" s="62" t="s">
        <v>389</v>
      </c>
      <c r="C18" s="14" t="s">
        <v>204</v>
      </c>
      <c r="D18" s="16" t="s">
        <v>204</v>
      </c>
      <c r="E18" s="16" t="s">
        <v>53</v>
      </c>
      <c r="F18" s="16" t="s">
        <v>56</v>
      </c>
      <c r="G18" s="2" t="s">
        <v>218</v>
      </c>
      <c r="H18" s="43" t="s">
        <v>67</v>
      </c>
      <c r="I18" s="16" t="s">
        <v>94</v>
      </c>
      <c r="J18" s="17" t="s">
        <v>92</v>
      </c>
      <c r="K18" s="17">
        <v>2</v>
      </c>
      <c r="L18" s="18">
        <v>256</v>
      </c>
      <c r="M18" s="30">
        <v>1256</v>
      </c>
      <c r="N18" s="31">
        <v>1911.3</v>
      </c>
      <c r="O18" s="32">
        <v>512</v>
      </c>
      <c r="P18" s="32">
        <v>2512</v>
      </c>
      <c r="Q18" s="32">
        <v>3822.6</v>
      </c>
      <c r="R18" s="47">
        <v>7</v>
      </c>
      <c r="S18" s="21">
        <v>46079</v>
      </c>
      <c r="T18" s="33">
        <v>46086</v>
      </c>
      <c r="U18" s="34">
        <v>9</v>
      </c>
      <c r="V18" s="35">
        <v>10</v>
      </c>
      <c r="W18" s="33">
        <v>46080</v>
      </c>
      <c r="X18" s="33">
        <v>46087</v>
      </c>
      <c r="Y18" s="36">
        <v>9</v>
      </c>
      <c r="Z18" s="36">
        <v>10</v>
      </c>
      <c r="AA18" s="25">
        <v>1</v>
      </c>
      <c r="AB18" s="37">
        <v>0</v>
      </c>
      <c r="AC18" s="38">
        <v>-1</v>
      </c>
      <c r="AD18" s="39">
        <v>3822.6</v>
      </c>
      <c r="AE18" s="39">
        <v>0</v>
      </c>
      <c r="AF18" s="39">
        <v>3822.6</v>
      </c>
      <c r="AG18" s="29">
        <v>0</v>
      </c>
      <c r="AH18" s="29">
        <v>0</v>
      </c>
      <c r="AI18" s="69">
        <v>0</v>
      </c>
      <c r="AJ18" s="46">
        <v>0</v>
      </c>
    </row>
    <row r="19" spans="2:36">
      <c r="B19" s="62" t="s">
        <v>389</v>
      </c>
      <c r="C19" s="14" t="s">
        <v>204</v>
      </c>
      <c r="D19" s="16" t="s">
        <v>204</v>
      </c>
      <c r="E19" s="16" t="s">
        <v>53</v>
      </c>
      <c r="F19" s="16" t="s">
        <v>56</v>
      </c>
      <c r="G19" s="2" t="s">
        <v>219</v>
      </c>
      <c r="H19" s="43" t="s">
        <v>65</v>
      </c>
      <c r="I19" s="16" t="s">
        <v>95</v>
      </c>
      <c r="J19" s="17" t="s">
        <v>92</v>
      </c>
      <c r="K19" s="17">
        <v>7</v>
      </c>
      <c r="L19" s="18">
        <v>256</v>
      </c>
      <c r="M19" s="30">
        <v>1256</v>
      </c>
      <c r="N19" s="31">
        <v>1911.3</v>
      </c>
      <c r="O19" s="32">
        <v>1792</v>
      </c>
      <c r="P19" s="32">
        <v>8792</v>
      </c>
      <c r="Q19" s="32">
        <v>13379.1</v>
      </c>
      <c r="R19" s="47">
        <v>4</v>
      </c>
      <c r="S19" s="21">
        <v>46082</v>
      </c>
      <c r="T19" s="33">
        <v>46086</v>
      </c>
      <c r="U19" s="34">
        <v>9</v>
      </c>
      <c r="V19" s="35">
        <v>10</v>
      </c>
      <c r="W19" s="33">
        <v>46083</v>
      </c>
      <c r="X19" s="33">
        <v>46087</v>
      </c>
      <c r="Y19" s="36">
        <v>10</v>
      </c>
      <c r="Z19" s="36">
        <v>10</v>
      </c>
      <c r="AA19" s="25">
        <v>1</v>
      </c>
      <c r="AB19" s="37">
        <v>0.14285714285714285</v>
      </c>
      <c r="AC19" s="38">
        <v>-0.85714285714285721</v>
      </c>
      <c r="AD19" s="39">
        <v>13379.1</v>
      </c>
      <c r="AE19" s="39">
        <v>1911.3</v>
      </c>
      <c r="AF19" s="39">
        <v>11467.800000000001</v>
      </c>
      <c r="AG19" s="29">
        <v>1</v>
      </c>
      <c r="AH19" s="29">
        <v>1</v>
      </c>
      <c r="AI19" s="69">
        <v>0.14285714285714285</v>
      </c>
      <c r="AJ19" s="46">
        <v>1911.3</v>
      </c>
    </row>
    <row r="20" spans="2:36">
      <c r="B20" s="62" t="s">
        <v>389</v>
      </c>
      <c r="C20" s="14" t="s">
        <v>204</v>
      </c>
      <c r="D20" s="16" t="s">
        <v>204</v>
      </c>
      <c r="E20" s="16" t="s">
        <v>53</v>
      </c>
      <c r="F20" s="16" t="s">
        <v>56</v>
      </c>
      <c r="G20" s="2" t="s">
        <v>220</v>
      </c>
      <c r="H20" s="43" t="s">
        <v>64</v>
      </c>
      <c r="I20" s="16" t="s">
        <v>96</v>
      </c>
      <c r="J20" s="17" t="s">
        <v>92</v>
      </c>
      <c r="K20" s="17">
        <v>2</v>
      </c>
      <c r="L20" s="18">
        <v>256</v>
      </c>
      <c r="M20" s="30">
        <v>1256</v>
      </c>
      <c r="N20" s="31">
        <v>1911.3</v>
      </c>
      <c r="O20" s="32">
        <v>512</v>
      </c>
      <c r="P20" s="32">
        <v>2512</v>
      </c>
      <c r="Q20" s="32">
        <v>3822.6</v>
      </c>
      <c r="R20" s="47">
        <v>8</v>
      </c>
      <c r="S20" s="21">
        <v>46083</v>
      </c>
      <c r="T20" s="33">
        <v>46091</v>
      </c>
      <c r="U20" s="34">
        <v>10</v>
      </c>
      <c r="V20" s="35">
        <v>11</v>
      </c>
      <c r="W20" s="33">
        <v>46084</v>
      </c>
      <c r="X20" s="33">
        <v>46092</v>
      </c>
      <c r="Y20" s="36">
        <v>10</v>
      </c>
      <c r="Z20" s="36">
        <v>11</v>
      </c>
      <c r="AA20" s="25">
        <v>1</v>
      </c>
      <c r="AB20" s="37">
        <v>0.5</v>
      </c>
      <c r="AC20" s="38">
        <v>-0.5</v>
      </c>
      <c r="AD20" s="39">
        <v>3822.6</v>
      </c>
      <c r="AE20" s="39">
        <v>1911.3</v>
      </c>
      <c r="AF20" s="39">
        <v>1911.3</v>
      </c>
      <c r="AG20" s="29">
        <v>1</v>
      </c>
      <c r="AH20" s="29">
        <v>1</v>
      </c>
      <c r="AI20" s="69">
        <v>0.5</v>
      </c>
      <c r="AJ20" s="46">
        <v>1911.3</v>
      </c>
    </row>
    <row r="21" spans="2:36">
      <c r="B21" s="62" t="s">
        <v>389</v>
      </c>
      <c r="C21" s="14" t="s">
        <v>204</v>
      </c>
      <c r="D21" s="16" t="s">
        <v>204</v>
      </c>
      <c r="E21" s="16" t="s">
        <v>53</v>
      </c>
      <c r="F21" s="16" t="s">
        <v>56</v>
      </c>
      <c r="G21" s="2" t="s">
        <v>221</v>
      </c>
      <c r="H21" s="43" t="s">
        <v>71</v>
      </c>
      <c r="I21" s="16" t="s">
        <v>97</v>
      </c>
      <c r="J21" s="17" t="s">
        <v>92</v>
      </c>
      <c r="K21" s="17">
        <v>14</v>
      </c>
      <c r="L21" s="18">
        <v>212</v>
      </c>
      <c r="M21" s="30">
        <v>344.74</v>
      </c>
      <c r="N21" s="31">
        <v>583.17999999999995</v>
      </c>
      <c r="O21" s="32">
        <v>2968</v>
      </c>
      <c r="P21" s="32">
        <v>4826.3600000000006</v>
      </c>
      <c r="Q21" s="32">
        <v>8164.5199999999995</v>
      </c>
      <c r="R21" s="47">
        <v>8</v>
      </c>
      <c r="S21" s="21">
        <v>46085</v>
      </c>
      <c r="T21" s="33">
        <v>46093</v>
      </c>
      <c r="U21" s="34">
        <v>10</v>
      </c>
      <c r="V21" s="35">
        <v>11</v>
      </c>
      <c r="W21" s="33">
        <v>46087</v>
      </c>
      <c r="X21" s="33">
        <v>46095</v>
      </c>
      <c r="Y21" s="36">
        <v>10</v>
      </c>
      <c r="Z21" s="36">
        <v>11</v>
      </c>
      <c r="AA21" s="75">
        <v>1</v>
      </c>
      <c r="AB21" s="37">
        <v>0.9285714285714286</v>
      </c>
      <c r="AC21" s="38">
        <v>-7.1428571428571397E-2</v>
      </c>
      <c r="AD21" s="39">
        <v>8164.5199999999995</v>
      </c>
      <c r="AE21" s="39">
        <v>7581.34</v>
      </c>
      <c r="AF21" s="39">
        <v>583.17999999999938</v>
      </c>
      <c r="AG21" s="29">
        <v>13</v>
      </c>
      <c r="AH21" s="29">
        <v>13</v>
      </c>
      <c r="AI21" s="69">
        <v>0.9285714285714286</v>
      </c>
      <c r="AJ21" s="46">
        <v>7581.3399999999992</v>
      </c>
    </row>
    <row r="22" spans="2:36">
      <c r="B22" s="62" t="s">
        <v>389</v>
      </c>
      <c r="C22" s="14" t="s">
        <v>204</v>
      </c>
      <c r="D22" s="16" t="s">
        <v>204</v>
      </c>
      <c r="E22" s="16" t="s">
        <v>53</v>
      </c>
      <c r="F22" s="16" t="s">
        <v>56</v>
      </c>
      <c r="G22" s="2" t="s">
        <v>222</v>
      </c>
      <c r="H22" s="43" t="s">
        <v>98</v>
      </c>
      <c r="I22" s="16" t="s">
        <v>99</v>
      </c>
      <c r="J22" s="17" t="s">
        <v>92</v>
      </c>
      <c r="K22" s="17">
        <v>1</v>
      </c>
      <c r="L22" s="18">
        <v>529.93600000000004</v>
      </c>
      <c r="M22" s="30">
        <v>3443.0860000000002</v>
      </c>
      <c r="N22" s="31">
        <v>5168.45</v>
      </c>
      <c r="O22" s="32">
        <v>529.93600000000004</v>
      </c>
      <c r="P22" s="32">
        <v>3443.0860000000002</v>
      </c>
      <c r="Q22" s="32">
        <v>5168.45</v>
      </c>
      <c r="R22" s="47">
        <v>9</v>
      </c>
      <c r="S22" s="21">
        <v>46088</v>
      </c>
      <c r="T22" s="33">
        <v>46097</v>
      </c>
      <c r="U22" s="34">
        <v>10</v>
      </c>
      <c r="V22" s="35">
        <v>12</v>
      </c>
      <c r="W22" s="33">
        <v>46090</v>
      </c>
      <c r="X22" s="33">
        <v>46099</v>
      </c>
      <c r="Y22" s="36">
        <v>11</v>
      </c>
      <c r="Z22" s="36">
        <v>12</v>
      </c>
      <c r="AA22" s="25">
        <v>1</v>
      </c>
      <c r="AB22" s="37">
        <v>0</v>
      </c>
      <c r="AC22" s="38">
        <v>-1</v>
      </c>
      <c r="AD22" s="39">
        <v>5168.45</v>
      </c>
      <c r="AE22" s="39">
        <v>0</v>
      </c>
      <c r="AF22" s="39">
        <v>5168.45</v>
      </c>
      <c r="AG22" s="29">
        <v>0</v>
      </c>
      <c r="AH22" s="29">
        <v>0</v>
      </c>
      <c r="AI22" s="69">
        <v>0</v>
      </c>
      <c r="AJ22" s="46">
        <v>0</v>
      </c>
    </row>
    <row r="23" spans="2:36">
      <c r="B23" s="62" t="s">
        <v>389</v>
      </c>
      <c r="C23" s="14" t="s">
        <v>204</v>
      </c>
      <c r="D23" s="16" t="s">
        <v>204</v>
      </c>
      <c r="E23" s="16" t="s">
        <v>53</v>
      </c>
      <c r="F23" s="16" t="s">
        <v>56</v>
      </c>
      <c r="G23" s="2" t="s">
        <v>223</v>
      </c>
      <c r="H23" s="43" t="s">
        <v>100</v>
      </c>
      <c r="I23" s="16" t="s">
        <v>101</v>
      </c>
      <c r="J23" s="17" t="s">
        <v>92</v>
      </c>
      <c r="K23" s="17">
        <v>3</v>
      </c>
      <c r="L23" s="18">
        <v>454.23199999999997</v>
      </c>
      <c r="M23" s="30">
        <v>2503.3719999999998</v>
      </c>
      <c r="N23" s="31">
        <v>3786.32</v>
      </c>
      <c r="O23" s="32">
        <v>1362.6959999999999</v>
      </c>
      <c r="P23" s="32">
        <v>7510.116</v>
      </c>
      <c r="Q23" s="32">
        <v>11358.960000000001</v>
      </c>
      <c r="R23" s="47">
        <v>2</v>
      </c>
      <c r="S23" s="21">
        <v>46091</v>
      </c>
      <c r="T23" s="33">
        <v>46093</v>
      </c>
      <c r="U23" s="34">
        <v>11</v>
      </c>
      <c r="V23" s="35">
        <v>11</v>
      </c>
      <c r="W23" s="33">
        <v>46093</v>
      </c>
      <c r="X23" s="33">
        <v>46095</v>
      </c>
      <c r="Y23" s="36">
        <v>11</v>
      </c>
      <c r="Z23" s="36">
        <v>11</v>
      </c>
      <c r="AA23" s="25">
        <v>1</v>
      </c>
      <c r="AB23" s="37">
        <v>0.66666666666666663</v>
      </c>
      <c r="AC23" s="38">
        <v>-0.33333333333333337</v>
      </c>
      <c r="AD23" s="39">
        <v>11358.960000000001</v>
      </c>
      <c r="AE23" s="39">
        <v>7572.64</v>
      </c>
      <c r="AF23" s="39">
        <v>3786.3200000000006</v>
      </c>
      <c r="AG23" s="29">
        <v>2</v>
      </c>
      <c r="AH23" s="29">
        <v>2</v>
      </c>
      <c r="AI23" s="69">
        <v>0.66666666666666663</v>
      </c>
      <c r="AJ23" s="46">
        <v>7572.64</v>
      </c>
    </row>
    <row r="24" spans="2:36">
      <c r="B24" s="62" t="s">
        <v>389</v>
      </c>
      <c r="C24" s="14" t="s">
        <v>204</v>
      </c>
      <c r="D24" s="16" t="s">
        <v>204</v>
      </c>
      <c r="E24" s="16" t="s">
        <v>53</v>
      </c>
      <c r="F24" s="16" t="s">
        <v>56</v>
      </c>
      <c r="G24" s="2" t="s">
        <v>224</v>
      </c>
      <c r="H24" s="43" t="s">
        <v>102</v>
      </c>
      <c r="I24" s="16" t="s">
        <v>103</v>
      </c>
      <c r="J24" s="17" t="s">
        <v>92</v>
      </c>
      <c r="K24" s="17">
        <v>1</v>
      </c>
      <c r="L24" s="18">
        <v>384</v>
      </c>
      <c r="M24" s="30">
        <v>2496.2600000000002</v>
      </c>
      <c r="N24" s="31">
        <v>3747.07</v>
      </c>
      <c r="O24" s="32">
        <v>384</v>
      </c>
      <c r="P24" s="32">
        <v>2496.2600000000002</v>
      </c>
      <c r="Q24" s="32">
        <v>3747.07</v>
      </c>
      <c r="R24" s="47">
        <v>6</v>
      </c>
      <c r="S24" s="21">
        <v>46093</v>
      </c>
      <c r="T24" s="33">
        <v>46099</v>
      </c>
      <c r="U24" s="34">
        <v>11</v>
      </c>
      <c r="V24" s="35">
        <v>12</v>
      </c>
      <c r="W24" s="33">
        <v>46094</v>
      </c>
      <c r="X24" s="33">
        <v>46100</v>
      </c>
      <c r="Y24" s="36">
        <v>11</v>
      </c>
      <c r="Z24" s="36">
        <v>12</v>
      </c>
      <c r="AA24" s="25">
        <v>1</v>
      </c>
      <c r="AB24" s="37">
        <v>1</v>
      </c>
      <c r="AC24" s="38">
        <v>0</v>
      </c>
      <c r="AD24" s="39">
        <v>3747.07</v>
      </c>
      <c r="AE24" s="39">
        <v>3747.07</v>
      </c>
      <c r="AF24" s="39">
        <v>0</v>
      </c>
      <c r="AG24" s="29">
        <v>1</v>
      </c>
      <c r="AH24" s="29">
        <v>1</v>
      </c>
      <c r="AI24" s="69">
        <v>1</v>
      </c>
      <c r="AJ24" s="46">
        <v>3747.07</v>
      </c>
    </row>
    <row r="25" spans="2:36">
      <c r="B25" s="62" t="s">
        <v>389</v>
      </c>
      <c r="C25" s="14" t="s">
        <v>204</v>
      </c>
      <c r="D25" s="16" t="s">
        <v>204</v>
      </c>
      <c r="E25" s="16" t="s">
        <v>53</v>
      </c>
      <c r="F25" s="16" t="s">
        <v>56</v>
      </c>
      <c r="G25" s="2" t="s">
        <v>225</v>
      </c>
      <c r="H25" s="43" t="s">
        <v>104</v>
      </c>
      <c r="I25" s="16" t="s">
        <v>105</v>
      </c>
      <c r="J25" s="17" t="s">
        <v>92</v>
      </c>
      <c r="K25" s="17">
        <v>2</v>
      </c>
      <c r="L25" s="18">
        <v>288</v>
      </c>
      <c r="M25" s="30">
        <v>4504.2300000000005</v>
      </c>
      <c r="N25" s="31">
        <v>6593.86</v>
      </c>
      <c r="O25" s="32">
        <v>576</v>
      </c>
      <c r="P25" s="32">
        <v>9008.4600000000009</v>
      </c>
      <c r="Q25" s="32">
        <v>13187.72</v>
      </c>
      <c r="R25" s="47">
        <v>2</v>
      </c>
      <c r="S25" s="21">
        <v>46094</v>
      </c>
      <c r="T25" s="33">
        <v>46096</v>
      </c>
      <c r="U25" s="34">
        <v>11</v>
      </c>
      <c r="V25" s="35">
        <v>11</v>
      </c>
      <c r="W25" s="33">
        <v>46095</v>
      </c>
      <c r="X25" s="33">
        <v>46097</v>
      </c>
      <c r="Y25" s="36">
        <v>11</v>
      </c>
      <c r="Z25" s="36">
        <v>12</v>
      </c>
      <c r="AA25" s="25">
        <v>1</v>
      </c>
      <c r="AB25" s="37">
        <v>0</v>
      </c>
      <c r="AC25" s="38">
        <v>-1</v>
      </c>
      <c r="AD25" s="39">
        <v>13187.72</v>
      </c>
      <c r="AE25" s="39">
        <v>0</v>
      </c>
      <c r="AF25" s="39">
        <v>13187.72</v>
      </c>
      <c r="AG25" s="29">
        <v>0</v>
      </c>
      <c r="AH25" s="29">
        <v>0</v>
      </c>
      <c r="AI25" s="69">
        <v>0</v>
      </c>
      <c r="AJ25" s="46">
        <v>0</v>
      </c>
    </row>
    <row r="26" spans="2:36">
      <c r="B26" s="62" t="s">
        <v>389</v>
      </c>
      <c r="C26" s="14" t="s">
        <v>204</v>
      </c>
      <c r="D26" s="16" t="s">
        <v>204</v>
      </c>
      <c r="E26" s="16" t="s">
        <v>53</v>
      </c>
      <c r="F26" s="16" t="s">
        <v>56</v>
      </c>
      <c r="G26" s="2" t="s">
        <v>226</v>
      </c>
      <c r="H26" s="43" t="s">
        <v>106</v>
      </c>
      <c r="I26" s="16" t="s">
        <v>107</v>
      </c>
      <c r="J26" s="17" t="s">
        <v>92</v>
      </c>
      <c r="K26" s="17">
        <v>4</v>
      </c>
      <c r="L26" s="18">
        <v>288</v>
      </c>
      <c r="M26" s="30">
        <v>999.26</v>
      </c>
      <c r="N26" s="31">
        <v>1555.46</v>
      </c>
      <c r="O26" s="32">
        <v>1152</v>
      </c>
      <c r="P26" s="32">
        <v>3997.04</v>
      </c>
      <c r="Q26" s="32">
        <v>6221.84</v>
      </c>
      <c r="R26" s="47">
        <v>4</v>
      </c>
      <c r="S26" s="21">
        <v>46095</v>
      </c>
      <c r="T26" s="33">
        <v>46099</v>
      </c>
      <c r="U26" s="34">
        <v>11</v>
      </c>
      <c r="V26" s="35">
        <v>12</v>
      </c>
      <c r="W26" s="33">
        <v>46095</v>
      </c>
      <c r="X26" s="33">
        <v>46099</v>
      </c>
      <c r="Y26" s="36">
        <v>11</v>
      </c>
      <c r="Z26" s="36">
        <v>12</v>
      </c>
      <c r="AA26" s="25">
        <v>1</v>
      </c>
      <c r="AB26" s="37">
        <v>0.5</v>
      </c>
      <c r="AC26" s="38">
        <v>-0.5</v>
      </c>
      <c r="AD26" s="39">
        <v>6221.84</v>
      </c>
      <c r="AE26" s="39">
        <v>3110.92</v>
      </c>
      <c r="AF26" s="39">
        <v>3110.92</v>
      </c>
      <c r="AG26" s="29">
        <v>2</v>
      </c>
      <c r="AH26" s="29">
        <v>2</v>
      </c>
      <c r="AI26" s="69">
        <v>0.5</v>
      </c>
      <c r="AJ26" s="46">
        <v>3110.92</v>
      </c>
    </row>
    <row r="27" spans="2:36">
      <c r="B27" s="62" t="s">
        <v>389</v>
      </c>
      <c r="C27" s="14" t="s">
        <v>204</v>
      </c>
      <c r="D27" s="16" t="s">
        <v>204</v>
      </c>
      <c r="E27" s="16" t="s">
        <v>53</v>
      </c>
      <c r="F27" s="16" t="s">
        <v>56</v>
      </c>
      <c r="G27" s="2" t="s">
        <v>227</v>
      </c>
      <c r="H27" s="43" t="s">
        <v>108</v>
      </c>
      <c r="I27" s="16" t="s">
        <v>109</v>
      </c>
      <c r="J27" s="17" t="s">
        <v>92</v>
      </c>
      <c r="K27" s="17">
        <v>4</v>
      </c>
      <c r="L27" s="18">
        <v>336</v>
      </c>
      <c r="M27" s="30">
        <v>961.09</v>
      </c>
      <c r="N27" s="31">
        <v>1520.43</v>
      </c>
      <c r="O27" s="32">
        <v>1344</v>
      </c>
      <c r="P27" s="32">
        <v>3844.36</v>
      </c>
      <c r="Q27" s="32">
        <v>6081.72</v>
      </c>
      <c r="R27" s="47">
        <v>3</v>
      </c>
      <c r="S27" s="21">
        <v>46097</v>
      </c>
      <c r="T27" s="33">
        <v>46100</v>
      </c>
      <c r="U27" s="34">
        <v>12</v>
      </c>
      <c r="V27" s="35">
        <v>12</v>
      </c>
      <c r="W27" s="33">
        <v>46097</v>
      </c>
      <c r="X27" s="33">
        <v>46100</v>
      </c>
      <c r="Y27" s="36">
        <v>12</v>
      </c>
      <c r="Z27" s="36">
        <v>12</v>
      </c>
      <c r="AA27" s="25">
        <v>1</v>
      </c>
      <c r="AB27" s="37">
        <v>0</v>
      </c>
      <c r="AC27" s="38">
        <v>-1</v>
      </c>
      <c r="AD27" s="39">
        <v>6081.72</v>
      </c>
      <c r="AE27" s="39">
        <v>0</v>
      </c>
      <c r="AF27" s="39">
        <v>6081.72</v>
      </c>
      <c r="AG27" s="29">
        <v>0</v>
      </c>
      <c r="AH27" s="29">
        <v>0</v>
      </c>
      <c r="AI27" s="69">
        <v>0</v>
      </c>
      <c r="AJ27" s="46">
        <v>0</v>
      </c>
    </row>
    <row r="28" spans="2:36">
      <c r="B28" s="62" t="s">
        <v>389</v>
      </c>
      <c r="C28" s="14" t="s">
        <v>204</v>
      </c>
      <c r="D28" s="16" t="s">
        <v>204</v>
      </c>
      <c r="E28" s="16" t="s">
        <v>53</v>
      </c>
      <c r="F28" s="16" t="s">
        <v>56</v>
      </c>
      <c r="G28" s="2" t="s">
        <v>228</v>
      </c>
      <c r="H28" s="43" t="s">
        <v>110</v>
      </c>
      <c r="I28" s="16" t="s">
        <v>111</v>
      </c>
      <c r="J28" s="17" t="s">
        <v>92</v>
      </c>
      <c r="K28" s="17">
        <v>3</v>
      </c>
      <c r="L28" s="18">
        <v>288</v>
      </c>
      <c r="M28" s="30">
        <v>648.20000000000005</v>
      </c>
      <c r="N28" s="31">
        <v>1050.81</v>
      </c>
      <c r="O28" s="32">
        <v>864</v>
      </c>
      <c r="P28" s="32">
        <v>1944.6000000000001</v>
      </c>
      <c r="Q28" s="32">
        <v>3152.43</v>
      </c>
      <c r="R28" s="47">
        <v>10</v>
      </c>
      <c r="S28" s="21">
        <v>46099</v>
      </c>
      <c r="T28" s="33">
        <v>46109</v>
      </c>
      <c r="U28" s="34">
        <v>12</v>
      </c>
      <c r="V28" s="35">
        <v>13</v>
      </c>
      <c r="W28" s="33">
        <v>46099</v>
      </c>
      <c r="X28" s="33">
        <v>46109</v>
      </c>
      <c r="Y28" s="36">
        <v>12</v>
      </c>
      <c r="Z28" s="36">
        <v>13</v>
      </c>
      <c r="AA28" s="25">
        <v>1</v>
      </c>
      <c r="AB28" s="37">
        <v>0.33333333333333331</v>
      </c>
      <c r="AC28" s="38">
        <v>-0.66666666666666674</v>
      </c>
      <c r="AD28" s="39">
        <v>3152.43</v>
      </c>
      <c r="AE28" s="39">
        <v>1050.81</v>
      </c>
      <c r="AF28" s="39">
        <v>2101.62</v>
      </c>
      <c r="AG28" s="29">
        <v>1</v>
      </c>
      <c r="AH28" s="29">
        <v>1</v>
      </c>
      <c r="AI28" s="69">
        <v>0.33333333333333331</v>
      </c>
      <c r="AJ28" s="46">
        <v>1050.81</v>
      </c>
    </row>
    <row r="29" spans="2:36">
      <c r="B29" s="62" t="s">
        <v>389</v>
      </c>
      <c r="C29" s="14" t="s">
        <v>204</v>
      </c>
      <c r="D29" s="16" t="s">
        <v>204</v>
      </c>
      <c r="E29" s="16" t="s">
        <v>53</v>
      </c>
      <c r="F29" s="16" t="s">
        <v>56</v>
      </c>
      <c r="G29" s="2" t="s">
        <v>229</v>
      </c>
      <c r="H29" s="43" t="s">
        <v>112</v>
      </c>
      <c r="I29" s="16" t="s">
        <v>113</v>
      </c>
      <c r="J29" s="17" t="s">
        <v>92</v>
      </c>
      <c r="K29" s="17">
        <v>2</v>
      </c>
      <c r="L29" s="18">
        <v>288</v>
      </c>
      <c r="M29" s="30">
        <v>2693.63</v>
      </c>
      <c r="N29" s="31">
        <v>3991.12</v>
      </c>
      <c r="O29" s="32">
        <v>576</v>
      </c>
      <c r="P29" s="32">
        <v>5387.26</v>
      </c>
      <c r="Q29" s="32">
        <v>7982.24</v>
      </c>
      <c r="R29" s="47">
        <v>7</v>
      </c>
      <c r="S29" s="21">
        <v>46101</v>
      </c>
      <c r="T29" s="33">
        <v>46108</v>
      </c>
      <c r="U29" s="34">
        <v>12</v>
      </c>
      <c r="V29" s="35">
        <v>13</v>
      </c>
      <c r="W29" s="33">
        <v>46101</v>
      </c>
      <c r="X29" s="33">
        <v>46108</v>
      </c>
      <c r="Y29" s="36">
        <v>12</v>
      </c>
      <c r="Z29" s="36">
        <v>13</v>
      </c>
      <c r="AA29" s="25">
        <v>1</v>
      </c>
      <c r="AB29" s="37">
        <v>0</v>
      </c>
      <c r="AC29" s="38">
        <v>-1</v>
      </c>
      <c r="AD29" s="39">
        <v>7982.24</v>
      </c>
      <c r="AE29" s="39">
        <v>0</v>
      </c>
      <c r="AF29" s="39">
        <v>7982.24</v>
      </c>
      <c r="AG29" s="29">
        <v>0</v>
      </c>
      <c r="AH29" s="29">
        <v>0</v>
      </c>
      <c r="AI29" s="69">
        <v>0</v>
      </c>
      <c r="AJ29" s="46">
        <v>0</v>
      </c>
    </row>
    <row r="30" spans="2:36">
      <c r="B30" s="62" t="s">
        <v>389</v>
      </c>
      <c r="C30" s="14" t="s">
        <v>204</v>
      </c>
      <c r="D30" s="16" t="s">
        <v>204</v>
      </c>
      <c r="E30" s="16" t="s">
        <v>53</v>
      </c>
      <c r="F30" s="16" t="s">
        <v>56</v>
      </c>
      <c r="G30" s="2" t="s">
        <v>230</v>
      </c>
      <c r="H30" s="43" t="s">
        <v>70</v>
      </c>
      <c r="I30" s="16" t="s">
        <v>114</v>
      </c>
      <c r="J30" s="17" t="s">
        <v>92</v>
      </c>
      <c r="K30" s="17">
        <v>4</v>
      </c>
      <c r="L30" s="18">
        <v>256</v>
      </c>
      <c r="M30" s="30">
        <v>1061.3499999999999</v>
      </c>
      <c r="N30" s="31">
        <v>1631.49</v>
      </c>
      <c r="O30" s="32">
        <v>1024</v>
      </c>
      <c r="P30" s="32">
        <v>4245.3999999999996</v>
      </c>
      <c r="Q30" s="32">
        <v>6525.96</v>
      </c>
      <c r="R30" s="47">
        <v>5</v>
      </c>
      <c r="S30" s="21">
        <v>46104</v>
      </c>
      <c r="T30" s="33">
        <v>46109</v>
      </c>
      <c r="U30" s="34">
        <v>13</v>
      </c>
      <c r="V30" s="35">
        <v>13</v>
      </c>
      <c r="W30" s="33">
        <v>46104</v>
      </c>
      <c r="X30" s="33">
        <v>46109</v>
      </c>
      <c r="Y30" s="36">
        <v>13</v>
      </c>
      <c r="Z30" s="36">
        <v>13</v>
      </c>
      <c r="AA30" s="25">
        <v>1</v>
      </c>
      <c r="AB30" s="37">
        <v>0.5</v>
      </c>
      <c r="AC30" s="38">
        <v>-0.5</v>
      </c>
      <c r="AD30" s="39">
        <v>6525.96</v>
      </c>
      <c r="AE30" s="39">
        <v>3262.98</v>
      </c>
      <c r="AF30" s="39">
        <v>3262.98</v>
      </c>
      <c r="AG30" s="29">
        <v>2</v>
      </c>
      <c r="AH30" s="29">
        <v>2</v>
      </c>
      <c r="AI30" s="69">
        <v>0.5</v>
      </c>
      <c r="AJ30" s="46">
        <v>3262.98</v>
      </c>
    </row>
    <row r="31" spans="2:36">
      <c r="B31" s="62" t="s">
        <v>389</v>
      </c>
      <c r="C31" s="14" t="s">
        <v>204</v>
      </c>
      <c r="D31" s="16" t="s">
        <v>204</v>
      </c>
      <c r="E31" s="16" t="s">
        <v>53</v>
      </c>
      <c r="F31" s="16" t="s">
        <v>56</v>
      </c>
      <c r="G31" s="2" t="s">
        <v>231</v>
      </c>
      <c r="H31" s="43" t="s">
        <v>68</v>
      </c>
      <c r="I31" s="16" t="s">
        <v>115</v>
      </c>
      <c r="J31" s="17" t="s">
        <v>92</v>
      </c>
      <c r="K31" s="17">
        <v>21</v>
      </c>
      <c r="L31" s="18">
        <v>256</v>
      </c>
      <c r="M31" s="30">
        <v>1359</v>
      </c>
      <c r="N31" s="31">
        <v>2059.36</v>
      </c>
      <c r="O31" s="32">
        <v>5376</v>
      </c>
      <c r="P31" s="32">
        <v>28539</v>
      </c>
      <c r="Q31" s="32">
        <v>43246.560000000005</v>
      </c>
      <c r="R31" s="47">
        <v>5</v>
      </c>
      <c r="S31" s="21">
        <v>46105</v>
      </c>
      <c r="T31" s="33">
        <v>46110</v>
      </c>
      <c r="U31" s="34">
        <v>13</v>
      </c>
      <c r="V31" s="35">
        <v>13</v>
      </c>
      <c r="W31" s="33">
        <v>46106</v>
      </c>
      <c r="X31" s="33">
        <v>46111</v>
      </c>
      <c r="Y31" s="36">
        <v>13</v>
      </c>
      <c r="Z31" s="36">
        <v>14</v>
      </c>
      <c r="AA31" s="25">
        <v>1</v>
      </c>
      <c r="AB31" s="37">
        <v>0.61904761904761907</v>
      </c>
      <c r="AC31" s="38">
        <v>-0.38095238095238093</v>
      </c>
      <c r="AD31" s="39">
        <v>43246.560000000005</v>
      </c>
      <c r="AE31" s="39">
        <v>26771.680000000004</v>
      </c>
      <c r="AF31" s="39">
        <v>16474.88</v>
      </c>
      <c r="AG31" s="29">
        <v>13</v>
      </c>
      <c r="AH31" s="29">
        <v>13</v>
      </c>
      <c r="AI31" s="69">
        <v>0.61904761904761907</v>
      </c>
      <c r="AJ31" s="46">
        <v>26771.68</v>
      </c>
    </row>
    <row r="32" spans="2:36">
      <c r="B32" s="62" t="s">
        <v>389</v>
      </c>
      <c r="C32" s="14" t="s">
        <v>204</v>
      </c>
      <c r="D32" s="16" t="s">
        <v>204</v>
      </c>
      <c r="E32" s="16" t="s">
        <v>53</v>
      </c>
      <c r="F32" s="16" t="s">
        <v>56</v>
      </c>
      <c r="G32" s="2" t="s">
        <v>232</v>
      </c>
      <c r="H32" s="43" t="s">
        <v>69</v>
      </c>
      <c r="I32" s="16" t="s">
        <v>116</v>
      </c>
      <c r="J32" s="17" t="s">
        <v>92</v>
      </c>
      <c r="K32" s="17">
        <v>16</v>
      </c>
      <c r="L32" s="18">
        <v>256</v>
      </c>
      <c r="M32" s="30">
        <v>1843.9199999999998</v>
      </c>
      <c r="N32" s="31">
        <v>2756.44</v>
      </c>
      <c r="O32" s="32">
        <v>4096</v>
      </c>
      <c r="P32" s="32">
        <v>29502.719999999998</v>
      </c>
      <c r="Q32" s="32">
        <v>44103.040000000001</v>
      </c>
      <c r="R32" s="47">
        <v>8</v>
      </c>
      <c r="S32" s="21">
        <v>46106</v>
      </c>
      <c r="T32" s="33">
        <v>46114</v>
      </c>
      <c r="U32" s="34">
        <v>13</v>
      </c>
      <c r="V32" s="35">
        <v>14</v>
      </c>
      <c r="W32" s="33">
        <v>46108</v>
      </c>
      <c r="X32" s="33">
        <v>46116</v>
      </c>
      <c r="Y32" s="36">
        <v>13</v>
      </c>
      <c r="Z32" s="36">
        <v>14</v>
      </c>
      <c r="AA32" s="25">
        <v>1</v>
      </c>
      <c r="AB32" s="37">
        <v>0.875</v>
      </c>
      <c r="AC32" s="38">
        <v>-0.125</v>
      </c>
      <c r="AD32" s="39">
        <v>44103.040000000001</v>
      </c>
      <c r="AE32" s="39">
        <v>38590.160000000003</v>
      </c>
      <c r="AF32" s="39">
        <v>5512.8799999999974</v>
      </c>
      <c r="AG32" s="29">
        <v>14</v>
      </c>
      <c r="AH32" s="29">
        <v>14</v>
      </c>
      <c r="AI32" s="69">
        <v>0.875</v>
      </c>
      <c r="AJ32" s="46">
        <v>38590.160000000003</v>
      </c>
    </row>
    <row r="33" spans="2:36">
      <c r="B33" s="62" t="s">
        <v>389</v>
      </c>
      <c r="C33" s="14" t="s">
        <v>204</v>
      </c>
      <c r="D33" s="16" t="s">
        <v>204</v>
      </c>
      <c r="E33" s="16" t="s">
        <v>53</v>
      </c>
      <c r="F33" s="16" t="s">
        <v>56</v>
      </c>
      <c r="G33" s="2" t="s">
        <v>233</v>
      </c>
      <c r="H33" s="43" t="s">
        <v>117</v>
      </c>
      <c r="I33" s="16" t="s">
        <v>118</v>
      </c>
      <c r="J33" s="17" t="s">
        <v>92</v>
      </c>
      <c r="K33" s="17">
        <v>2</v>
      </c>
      <c r="L33" s="18">
        <v>454.23199999999997</v>
      </c>
      <c r="M33" s="30">
        <v>1990.502</v>
      </c>
      <c r="N33" s="31">
        <v>3049.06</v>
      </c>
      <c r="O33" s="32">
        <v>908.46399999999994</v>
      </c>
      <c r="P33" s="32">
        <v>3981.0039999999999</v>
      </c>
      <c r="Q33" s="32">
        <v>6098.12</v>
      </c>
      <c r="R33" s="47">
        <v>5</v>
      </c>
      <c r="S33" s="21">
        <v>46109</v>
      </c>
      <c r="T33" s="33">
        <v>46114</v>
      </c>
      <c r="U33" s="34">
        <v>13</v>
      </c>
      <c r="V33" s="35">
        <v>14</v>
      </c>
      <c r="W33" s="33">
        <v>46111</v>
      </c>
      <c r="X33" s="33">
        <v>46116</v>
      </c>
      <c r="Y33" s="36">
        <v>14</v>
      </c>
      <c r="Z33" s="36">
        <v>14</v>
      </c>
      <c r="AA33" s="25">
        <v>1</v>
      </c>
      <c r="AB33" s="37">
        <v>0</v>
      </c>
      <c r="AC33" s="38">
        <v>-1</v>
      </c>
      <c r="AD33" s="39">
        <v>6098.12</v>
      </c>
      <c r="AE33" s="39">
        <v>0</v>
      </c>
      <c r="AF33" s="39">
        <v>6098.12</v>
      </c>
      <c r="AG33" s="29">
        <v>0</v>
      </c>
      <c r="AH33" s="29">
        <v>0</v>
      </c>
      <c r="AI33" s="69">
        <v>0</v>
      </c>
      <c r="AJ33" s="46">
        <v>0</v>
      </c>
    </row>
    <row r="34" spans="2:36">
      <c r="B34" s="62" t="s">
        <v>389</v>
      </c>
      <c r="C34" s="14" t="s">
        <v>204</v>
      </c>
      <c r="D34" s="16" t="s">
        <v>204</v>
      </c>
      <c r="E34" s="16" t="s">
        <v>53</v>
      </c>
      <c r="F34" s="16" t="s">
        <v>56</v>
      </c>
      <c r="G34" s="2" t="s">
        <v>234</v>
      </c>
      <c r="H34" s="43" t="s">
        <v>119</v>
      </c>
      <c r="I34" s="16" t="s">
        <v>120</v>
      </c>
      <c r="J34" s="17" t="s">
        <v>92</v>
      </c>
      <c r="K34" s="17">
        <v>4</v>
      </c>
      <c r="L34" s="18">
        <v>454.23199999999997</v>
      </c>
      <c r="M34" s="30">
        <v>1361.242</v>
      </c>
      <c r="N34" s="31">
        <v>2144.5100000000002</v>
      </c>
      <c r="O34" s="32">
        <v>1816.9279999999999</v>
      </c>
      <c r="P34" s="32">
        <v>5444.9679999999998</v>
      </c>
      <c r="Q34" s="32">
        <v>8578.0400000000009</v>
      </c>
      <c r="R34" s="47">
        <v>9</v>
      </c>
      <c r="S34" s="21">
        <v>46110</v>
      </c>
      <c r="T34" s="33">
        <v>46119</v>
      </c>
      <c r="U34" s="34">
        <v>13</v>
      </c>
      <c r="V34" s="35">
        <v>15</v>
      </c>
      <c r="W34" s="33">
        <v>46111</v>
      </c>
      <c r="X34" s="33">
        <v>46120</v>
      </c>
      <c r="Y34" s="36">
        <v>14</v>
      </c>
      <c r="Z34" s="36">
        <v>15</v>
      </c>
      <c r="AA34" s="25">
        <v>1</v>
      </c>
      <c r="AB34" s="37">
        <v>0.75</v>
      </c>
      <c r="AC34" s="38">
        <v>-0.25</v>
      </c>
      <c r="AD34" s="39">
        <v>8578.0400000000009</v>
      </c>
      <c r="AE34" s="39">
        <v>6433.5300000000007</v>
      </c>
      <c r="AF34" s="39">
        <v>2144.5100000000002</v>
      </c>
      <c r="AG34" s="29">
        <v>3</v>
      </c>
      <c r="AH34" s="29">
        <v>3</v>
      </c>
      <c r="AI34" s="69">
        <v>0.75</v>
      </c>
      <c r="AJ34" s="46">
        <v>6433.5300000000007</v>
      </c>
    </row>
    <row r="35" spans="2:36">
      <c r="B35" s="62" t="s">
        <v>389</v>
      </c>
      <c r="C35" s="14" t="s">
        <v>204</v>
      </c>
      <c r="D35" s="16" t="s">
        <v>204</v>
      </c>
      <c r="E35" s="16" t="s">
        <v>53</v>
      </c>
      <c r="F35" s="16" t="s">
        <v>56</v>
      </c>
      <c r="G35" s="2" t="s">
        <v>235</v>
      </c>
      <c r="H35" s="43" t="s">
        <v>63</v>
      </c>
      <c r="I35" s="16" t="s">
        <v>121</v>
      </c>
      <c r="J35" s="17" t="s">
        <v>92</v>
      </c>
      <c r="K35" s="17">
        <v>2</v>
      </c>
      <c r="L35" s="18">
        <v>216</v>
      </c>
      <c r="M35" s="30">
        <v>949.59</v>
      </c>
      <c r="N35" s="31">
        <v>1454.3</v>
      </c>
      <c r="O35" s="32">
        <v>432</v>
      </c>
      <c r="P35" s="32">
        <v>1899.18</v>
      </c>
      <c r="Q35" s="32">
        <v>2908.6</v>
      </c>
      <c r="R35" s="47">
        <v>9</v>
      </c>
      <c r="S35" s="21">
        <v>46112</v>
      </c>
      <c r="T35" s="33">
        <v>46121</v>
      </c>
      <c r="U35" s="34">
        <v>14</v>
      </c>
      <c r="V35" s="35">
        <v>15</v>
      </c>
      <c r="W35" s="33">
        <v>46113</v>
      </c>
      <c r="X35" s="33">
        <v>46122</v>
      </c>
      <c r="Y35" s="36">
        <v>14</v>
      </c>
      <c r="Z35" s="36">
        <v>15</v>
      </c>
      <c r="AA35" s="25">
        <v>1</v>
      </c>
      <c r="AB35" s="37">
        <v>0</v>
      </c>
      <c r="AC35" s="38">
        <v>-1</v>
      </c>
      <c r="AD35" s="39">
        <v>2908.6</v>
      </c>
      <c r="AE35" s="39">
        <v>0</v>
      </c>
      <c r="AF35" s="39">
        <v>2908.6</v>
      </c>
      <c r="AG35" s="29">
        <v>0</v>
      </c>
      <c r="AH35" s="29">
        <v>0</v>
      </c>
      <c r="AI35" s="69">
        <v>0</v>
      </c>
      <c r="AJ35" s="46">
        <v>0</v>
      </c>
    </row>
    <row r="36" spans="2:36">
      <c r="B36" s="62" t="s">
        <v>389</v>
      </c>
      <c r="C36" s="14" t="s">
        <v>204</v>
      </c>
      <c r="D36" s="16" t="s">
        <v>204</v>
      </c>
      <c r="E36" s="16" t="s">
        <v>53</v>
      </c>
      <c r="F36" s="16" t="s">
        <v>56</v>
      </c>
      <c r="G36" s="2" t="s">
        <v>236</v>
      </c>
      <c r="H36" s="43" t="s">
        <v>122</v>
      </c>
      <c r="I36" s="16" t="s">
        <v>123</v>
      </c>
      <c r="J36" s="17" t="s">
        <v>92</v>
      </c>
      <c r="K36" s="17">
        <v>2</v>
      </c>
      <c r="L36" s="18">
        <v>216</v>
      </c>
      <c r="M36" s="30">
        <v>682.47</v>
      </c>
      <c r="N36" s="31">
        <v>1070.32</v>
      </c>
      <c r="O36" s="32">
        <v>432</v>
      </c>
      <c r="P36" s="32">
        <v>1364.94</v>
      </c>
      <c r="Q36" s="32">
        <v>2140.64</v>
      </c>
      <c r="R36" s="47">
        <v>4</v>
      </c>
      <c r="S36" s="21">
        <v>46113</v>
      </c>
      <c r="T36" s="33">
        <v>46117</v>
      </c>
      <c r="U36" s="34">
        <v>14</v>
      </c>
      <c r="V36" s="35">
        <v>14</v>
      </c>
      <c r="W36" s="33">
        <v>46115</v>
      </c>
      <c r="X36" s="33">
        <v>46119</v>
      </c>
      <c r="Y36" s="36">
        <v>14</v>
      </c>
      <c r="Z36" s="36">
        <v>15</v>
      </c>
      <c r="AA36" s="25">
        <v>1</v>
      </c>
      <c r="AB36" s="37">
        <v>0.5</v>
      </c>
      <c r="AC36" s="38">
        <v>-0.5</v>
      </c>
      <c r="AD36" s="39">
        <v>2140.64</v>
      </c>
      <c r="AE36" s="39">
        <v>1070.32</v>
      </c>
      <c r="AF36" s="39">
        <v>1070.32</v>
      </c>
      <c r="AG36" s="29">
        <v>1</v>
      </c>
      <c r="AH36" s="29">
        <v>1</v>
      </c>
      <c r="AI36" s="69">
        <v>0.5</v>
      </c>
      <c r="AJ36" s="46">
        <v>1070.32</v>
      </c>
    </row>
    <row r="37" spans="2:36">
      <c r="B37" s="62" t="s">
        <v>389</v>
      </c>
      <c r="C37" s="14" t="s">
        <v>204</v>
      </c>
      <c r="D37" s="16" t="s">
        <v>204</v>
      </c>
      <c r="E37" s="16" t="s">
        <v>53</v>
      </c>
      <c r="F37" s="16" t="s">
        <v>56</v>
      </c>
      <c r="G37" s="2" t="s">
        <v>237</v>
      </c>
      <c r="H37" s="43" t="s">
        <v>66</v>
      </c>
      <c r="I37" s="16" t="s">
        <v>124</v>
      </c>
      <c r="J37" s="17" t="s">
        <v>92</v>
      </c>
      <c r="K37" s="17">
        <v>3</v>
      </c>
      <c r="L37" s="18">
        <v>256</v>
      </c>
      <c r="M37" s="30">
        <v>1256</v>
      </c>
      <c r="N37" s="31">
        <v>1911.3</v>
      </c>
      <c r="O37" s="32">
        <v>768</v>
      </c>
      <c r="P37" s="32">
        <v>3768</v>
      </c>
      <c r="Q37" s="32">
        <v>5733.9</v>
      </c>
      <c r="R37" s="47">
        <v>6</v>
      </c>
      <c r="S37" s="21">
        <v>46115</v>
      </c>
      <c r="T37" s="33">
        <v>46121</v>
      </c>
      <c r="U37" s="34">
        <v>14</v>
      </c>
      <c r="V37" s="35">
        <v>15</v>
      </c>
      <c r="W37" s="33">
        <v>46117</v>
      </c>
      <c r="X37" s="33">
        <v>46123</v>
      </c>
      <c r="Y37" s="36">
        <v>14</v>
      </c>
      <c r="Z37" s="36">
        <v>15</v>
      </c>
      <c r="AA37" s="25">
        <v>1</v>
      </c>
      <c r="AB37" s="37">
        <v>0</v>
      </c>
      <c r="AC37" s="38">
        <v>-1</v>
      </c>
      <c r="AD37" s="39">
        <v>5733.9</v>
      </c>
      <c r="AE37" s="39">
        <v>0</v>
      </c>
      <c r="AF37" s="39">
        <v>5733.9</v>
      </c>
      <c r="AG37" s="29">
        <v>0</v>
      </c>
      <c r="AH37" s="29">
        <v>0</v>
      </c>
      <c r="AI37" s="69">
        <v>0</v>
      </c>
      <c r="AJ37" s="46">
        <v>0</v>
      </c>
    </row>
    <row r="38" spans="2:36">
      <c r="B38" s="62" t="s">
        <v>389</v>
      </c>
      <c r="C38" s="14" t="s">
        <v>204</v>
      </c>
      <c r="D38" s="16" t="s">
        <v>204</v>
      </c>
      <c r="E38" s="16" t="s">
        <v>53</v>
      </c>
      <c r="F38" s="16" t="s">
        <v>56</v>
      </c>
      <c r="G38" s="2" t="s">
        <v>238</v>
      </c>
      <c r="H38" s="43" t="s">
        <v>67</v>
      </c>
      <c r="I38" s="16" t="s">
        <v>125</v>
      </c>
      <c r="J38" s="17" t="s">
        <v>92</v>
      </c>
      <c r="K38" s="17">
        <v>2</v>
      </c>
      <c r="L38" s="18">
        <v>256</v>
      </c>
      <c r="M38" s="30">
        <v>1256</v>
      </c>
      <c r="N38" s="31">
        <v>1911.3</v>
      </c>
      <c r="O38" s="32">
        <v>512</v>
      </c>
      <c r="P38" s="32">
        <v>2512</v>
      </c>
      <c r="Q38" s="32">
        <v>3822.6</v>
      </c>
      <c r="R38" s="47">
        <v>10</v>
      </c>
      <c r="S38" s="21">
        <v>46116</v>
      </c>
      <c r="T38" s="33">
        <v>46126</v>
      </c>
      <c r="U38" s="34">
        <v>14</v>
      </c>
      <c r="V38" s="35">
        <v>16</v>
      </c>
      <c r="W38" s="33">
        <v>46118</v>
      </c>
      <c r="X38" s="33">
        <v>46128</v>
      </c>
      <c r="Y38" s="36">
        <v>15</v>
      </c>
      <c r="Z38" s="36">
        <v>16</v>
      </c>
      <c r="AA38" s="25">
        <v>1</v>
      </c>
      <c r="AB38" s="37">
        <v>1</v>
      </c>
      <c r="AC38" s="38">
        <v>0</v>
      </c>
      <c r="AD38" s="39">
        <v>3822.6</v>
      </c>
      <c r="AE38" s="39">
        <v>3822.6</v>
      </c>
      <c r="AF38" s="39">
        <v>0</v>
      </c>
      <c r="AG38" s="29">
        <v>2</v>
      </c>
      <c r="AH38" s="29">
        <v>2</v>
      </c>
      <c r="AI38" s="69">
        <v>1</v>
      </c>
      <c r="AJ38" s="46">
        <v>3822.6</v>
      </c>
    </row>
    <row r="39" spans="2:36">
      <c r="B39" s="62" t="s">
        <v>389</v>
      </c>
      <c r="C39" s="14" t="s">
        <v>204</v>
      </c>
      <c r="D39" s="16" t="s">
        <v>204</v>
      </c>
      <c r="E39" s="16" t="s">
        <v>53</v>
      </c>
      <c r="F39" s="16" t="s">
        <v>56</v>
      </c>
      <c r="G39" s="2" t="s">
        <v>239</v>
      </c>
      <c r="H39" s="43" t="s">
        <v>126</v>
      </c>
      <c r="I39" s="16" t="s">
        <v>127</v>
      </c>
      <c r="J39" s="17" t="s">
        <v>92</v>
      </c>
      <c r="K39" s="17">
        <v>1</v>
      </c>
      <c r="L39" s="18">
        <v>288</v>
      </c>
      <c r="M39" s="30">
        <v>976.24</v>
      </c>
      <c r="N39" s="31">
        <v>1522.37</v>
      </c>
      <c r="O39" s="32">
        <v>288</v>
      </c>
      <c r="P39" s="32">
        <v>976.24</v>
      </c>
      <c r="Q39" s="32">
        <v>1522.37</v>
      </c>
      <c r="R39" s="47">
        <v>8</v>
      </c>
      <c r="S39" s="21">
        <v>46118</v>
      </c>
      <c r="T39" s="33">
        <v>46126</v>
      </c>
      <c r="U39" s="34">
        <v>15</v>
      </c>
      <c r="V39" s="35">
        <v>16</v>
      </c>
      <c r="W39" s="33">
        <v>46120</v>
      </c>
      <c r="X39" s="33">
        <v>46128</v>
      </c>
      <c r="Y39" s="36">
        <v>15</v>
      </c>
      <c r="Z39" s="36">
        <v>16</v>
      </c>
      <c r="AA39" s="25">
        <v>1</v>
      </c>
      <c r="AB39" s="37">
        <v>1</v>
      </c>
      <c r="AC39" s="38">
        <v>0</v>
      </c>
      <c r="AD39" s="39">
        <v>1522.37</v>
      </c>
      <c r="AE39" s="39">
        <v>1522.37</v>
      </c>
      <c r="AF39" s="39">
        <v>0</v>
      </c>
      <c r="AG39" s="29">
        <v>1</v>
      </c>
      <c r="AH39" s="29">
        <v>1</v>
      </c>
      <c r="AI39" s="69">
        <v>1</v>
      </c>
      <c r="AJ39" s="46">
        <v>1522.37</v>
      </c>
    </row>
    <row r="40" spans="2:36">
      <c r="B40" s="62" t="s">
        <v>389</v>
      </c>
      <c r="C40" s="14" t="s">
        <v>204</v>
      </c>
      <c r="D40" s="16" t="s">
        <v>204</v>
      </c>
      <c r="E40" s="16" t="s">
        <v>53</v>
      </c>
      <c r="F40" s="16" t="s">
        <v>56</v>
      </c>
      <c r="G40" s="2" t="s">
        <v>240</v>
      </c>
      <c r="H40" s="43" t="s">
        <v>72</v>
      </c>
      <c r="I40" s="16" t="s">
        <v>128</v>
      </c>
      <c r="J40" s="17" t="s">
        <v>92</v>
      </c>
      <c r="K40" s="17">
        <v>3</v>
      </c>
      <c r="L40" s="18">
        <v>212</v>
      </c>
      <c r="M40" s="30">
        <v>398.87</v>
      </c>
      <c r="N40" s="31">
        <v>660.99</v>
      </c>
      <c r="O40" s="32">
        <v>636</v>
      </c>
      <c r="P40" s="32">
        <v>1196.6100000000001</v>
      </c>
      <c r="Q40" s="32">
        <v>1982.97</v>
      </c>
      <c r="R40" s="47">
        <v>5</v>
      </c>
      <c r="S40" s="21">
        <v>46121</v>
      </c>
      <c r="T40" s="33">
        <v>46126</v>
      </c>
      <c r="U40" s="34">
        <v>15</v>
      </c>
      <c r="V40" s="35">
        <v>16</v>
      </c>
      <c r="W40" s="33"/>
      <c r="X40" s="33"/>
      <c r="Y40" s="36">
        <v>52</v>
      </c>
      <c r="Z40" s="36">
        <v>52</v>
      </c>
      <c r="AA40" s="25">
        <v>1</v>
      </c>
      <c r="AB40" s="37">
        <v>0.33333333333333331</v>
      </c>
      <c r="AC40" s="38">
        <v>-0.66666666666666674</v>
      </c>
      <c r="AD40" s="39">
        <v>1982.97</v>
      </c>
      <c r="AE40" s="39">
        <v>660.99</v>
      </c>
      <c r="AF40" s="39">
        <v>1321.98</v>
      </c>
      <c r="AG40" s="29">
        <v>1</v>
      </c>
      <c r="AH40" s="29">
        <v>1</v>
      </c>
      <c r="AI40" s="69">
        <v>0.33333333333333331</v>
      </c>
      <c r="AJ40" s="46">
        <v>660.99</v>
      </c>
    </row>
    <row r="41" spans="2:36">
      <c r="B41" s="62" t="s">
        <v>389</v>
      </c>
      <c r="C41" s="14" t="s">
        <v>204</v>
      </c>
      <c r="D41" s="16" t="s">
        <v>204</v>
      </c>
      <c r="E41" s="16" t="s">
        <v>53</v>
      </c>
      <c r="F41" s="16" t="s">
        <v>56</v>
      </c>
      <c r="G41" s="2" t="s">
        <v>241</v>
      </c>
      <c r="H41" s="43" t="s">
        <v>129</v>
      </c>
      <c r="I41" s="16" t="s">
        <v>130</v>
      </c>
      <c r="J41" s="17" t="s">
        <v>92</v>
      </c>
      <c r="K41" s="17">
        <v>1</v>
      </c>
      <c r="L41" s="18">
        <v>529.93600000000004</v>
      </c>
      <c r="M41" s="30">
        <v>789.13599999999997</v>
      </c>
      <c r="N41" s="31">
        <v>1353.39</v>
      </c>
      <c r="O41" s="32">
        <v>529.93600000000004</v>
      </c>
      <c r="P41" s="32">
        <v>789.13599999999997</v>
      </c>
      <c r="Q41" s="32">
        <v>1353.39</v>
      </c>
      <c r="R41" s="47">
        <v>2</v>
      </c>
      <c r="S41" s="21">
        <v>46124</v>
      </c>
      <c r="T41" s="33">
        <v>46126</v>
      </c>
      <c r="U41" s="34">
        <v>15</v>
      </c>
      <c r="V41" s="35">
        <v>16</v>
      </c>
      <c r="W41" s="33"/>
      <c r="X41" s="33"/>
      <c r="Y41" s="36">
        <v>52</v>
      </c>
      <c r="Z41" s="36">
        <v>52</v>
      </c>
      <c r="AA41" s="25">
        <v>1</v>
      </c>
      <c r="AB41" s="37">
        <v>0</v>
      </c>
      <c r="AC41" s="38">
        <v>-1</v>
      </c>
      <c r="AD41" s="39">
        <v>1353.39</v>
      </c>
      <c r="AE41" s="39">
        <v>0</v>
      </c>
      <c r="AF41" s="39">
        <v>1353.39</v>
      </c>
      <c r="AG41" s="29">
        <v>0</v>
      </c>
      <c r="AH41" s="29">
        <v>0</v>
      </c>
      <c r="AI41" s="69">
        <v>0</v>
      </c>
      <c r="AJ41" s="46">
        <v>0</v>
      </c>
    </row>
    <row r="42" spans="2:36">
      <c r="B42" s="62" t="s">
        <v>389</v>
      </c>
      <c r="C42" s="14" t="s">
        <v>204</v>
      </c>
      <c r="D42" s="16" t="s">
        <v>204</v>
      </c>
      <c r="E42" s="16" t="s">
        <v>53</v>
      </c>
      <c r="F42" s="16" t="s">
        <v>56</v>
      </c>
      <c r="G42" s="2" t="s">
        <v>242</v>
      </c>
      <c r="H42" s="43" t="s">
        <v>131</v>
      </c>
      <c r="I42" s="16" t="s">
        <v>132</v>
      </c>
      <c r="J42" s="17" t="s">
        <v>92</v>
      </c>
      <c r="K42" s="17">
        <v>2</v>
      </c>
      <c r="L42" s="18">
        <v>529.93600000000004</v>
      </c>
      <c r="M42" s="30">
        <v>1796.1860000000001</v>
      </c>
      <c r="N42" s="31">
        <v>2801.03</v>
      </c>
      <c r="O42" s="32">
        <v>1059.8720000000001</v>
      </c>
      <c r="P42" s="32">
        <v>3592.3720000000003</v>
      </c>
      <c r="Q42" s="32">
        <v>5602.06</v>
      </c>
      <c r="R42" s="47">
        <v>4</v>
      </c>
      <c r="S42" s="21">
        <v>46127</v>
      </c>
      <c r="T42" s="33">
        <v>46131</v>
      </c>
      <c r="U42" s="34">
        <v>16</v>
      </c>
      <c r="V42" s="35">
        <v>16</v>
      </c>
      <c r="W42" s="33"/>
      <c r="X42" s="33"/>
      <c r="Y42" s="36">
        <v>52</v>
      </c>
      <c r="Z42" s="36">
        <v>52</v>
      </c>
      <c r="AA42" s="25">
        <v>1</v>
      </c>
      <c r="AB42" s="37">
        <v>0.5</v>
      </c>
      <c r="AC42" s="38">
        <v>-0.5</v>
      </c>
      <c r="AD42" s="39">
        <v>5602.06</v>
      </c>
      <c r="AE42" s="39">
        <v>2801.03</v>
      </c>
      <c r="AF42" s="39">
        <v>2801.03</v>
      </c>
      <c r="AG42" s="29">
        <v>1</v>
      </c>
      <c r="AH42" s="29">
        <v>1</v>
      </c>
      <c r="AI42" s="69">
        <v>0.5</v>
      </c>
      <c r="AJ42" s="46">
        <v>2801.03</v>
      </c>
    </row>
    <row r="43" spans="2:36">
      <c r="B43" s="62" t="s">
        <v>389</v>
      </c>
      <c r="C43" s="14" t="s">
        <v>204</v>
      </c>
      <c r="D43" s="16" t="s">
        <v>204</v>
      </c>
      <c r="E43" s="16" t="s">
        <v>53</v>
      </c>
      <c r="F43" s="16" t="s">
        <v>56</v>
      </c>
      <c r="G43" s="2" t="s">
        <v>243</v>
      </c>
      <c r="H43" s="43" t="s">
        <v>133</v>
      </c>
      <c r="I43" s="16" t="s">
        <v>134</v>
      </c>
      <c r="J43" s="17" t="s">
        <v>92</v>
      </c>
      <c r="K43" s="17">
        <v>2</v>
      </c>
      <c r="L43" s="18">
        <v>529.93600000000004</v>
      </c>
      <c r="M43" s="30">
        <v>1612.1860000000001</v>
      </c>
      <c r="N43" s="31">
        <v>2536.5300000000002</v>
      </c>
      <c r="O43" s="32">
        <v>1059.8720000000001</v>
      </c>
      <c r="P43" s="32">
        <v>3224.3720000000003</v>
      </c>
      <c r="Q43" s="32">
        <v>5073.0600000000004</v>
      </c>
      <c r="R43" s="47">
        <v>9</v>
      </c>
      <c r="S43" s="21">
        <v>46130</v>
      </c>
      <c r="T43" s="33">
        <v>46139</v>
      </c>
      <c r="U43" s="34">
        <v>16</v>
      </c>
      <c r="V43" s="35">
        <v>18</v>
      </c>
      <c r="W43" s="33"/>
      <c r="X43" s="33"/>
      <c r="Y43" s="36">
        <v>52</v>
      </c>
      <c r="Z43" s="36">
        <v>52</v>
      </c>
      <c r="AA43" s="25">
        <v>1</v>
      </c>
      <c r="AB43" s="37">
        <v>0</v>
      </c>
      <c r="AC43" s="38">
        <v>-1</v>
      </c>
      <c r="AD43" s="39">
        <v>5073.0600000000004</v>
      </c>
      <c r="AE43" s="39">
        <v>0</v>
      </c>
      <c r="AF43" s="39">
        <v>5073.0600000000004</v>
      </c>
      <c r="AG43" s="29">
        <v>0</v>
      </c>
      <c r="AH43" s="29">
        <v>0</v>
      </c>
      <c r="AI43" s="69">
        <v>0</v>
      </c>
      <c r="AJ43" s="46">
        <v>0</v>
      </c>
    </row>
    <row r="44" spans="2:36">
      <c r="B44" s="62" t="s">
        <v>389</v>
      </c>
      <c r="C44" s="14" t="s">
        <v>204</v>
      </c>
      <c r="D44" s="16" t="s">
        <v>204</v>
      </c>
      <c r="E44" s="16" t="s">
        <v>49</v>
      </c>
      <c r="F44" s="16" t="s">
        <v>50</v>
      </c>
      <c r="G44" s="2" t="s">
        <v>244</v>
      </c>
      <c r="H44" s="43" t="s">
        <v>135</v>
      </c>
      <c r="I44" s="16" t="s">
        <v>136</v>
      </c>
      <c r="J44" s="17" t="s">
        <v>92</v>
      </c>
      <c r="K44" s="17">
        <v>11</v>
      </c>
      <c r="L44" s="18">
        <v>296.00799999999998</v>
      </c>
      <c r="M44" s="30">
        <v>307.108</v>
      </c>
      <c r="N44" s="31">
        <v>563.79</v>
      </c>
      <c r="O44" s="32">
        <v>3256.0879999999997</v>
      </c>
      <c r="P44" s="32">
        <v>3378.1880000000001</v>
      </c>
      <c r="Q44" s="32">
        <v>6201.69</v>
      </c>
      <c r="R44" s="47">
        <v>10</v>
      </c>
      <c r="S44" s="21">
        <v>46131</v>
      </c>
      <c r="T44" s="33">
        <v>46141</v>
      </c>
      <c r="U44" s="34">
        <v>16</v>
      </c>
      <c r="V44" s="35">
        <v>18</v>
      </c>
      <c r="W44" s="33"/>
      <c r="X44" s="33"/>
      <c r="Y44" s="36">
        <v>52</v>
      </c>
      <c r="Z44" s="36">
        <v>52</v>
      </c>
      <c r="AA44" s="25">
        <v>1</v>
      </c>
      <c r="AB44" s="37">
        <v>0.81818181818181823</v>
      </c>
      <c r="AC44" s="38">
        <v>-0.18181818181818177</v>
      </c>
      <c r="AD44" s="39">
        <v>6201.69</v>
      </c>
      <c r="AE44" s="39">
        <v>5074.1099999999997</v>
      </c>
      <c r="AF44" s="39">
        <v>1127.58</v>
      </c>
      <c r="AG44" s="29">
        <v>9</v>
      </c>
      <c r="AH44" s="29">
        <v>9</v>
      </c>
      <c r="AI44" s="69">
        <v>0.81818181818181823</v>
      </c>
      <c r="AJ44" s="46">
        <v>5074.1099999999997</v>
      </c>
    </row>
    <row r="45" spans="2:36">
      <c r="B45" s="62" t="s">
        <v>389</v>
      </c>
      <c r="C45" s="14" t="s">
        <v>204</v>
      </c>
      <c r="D45" s="16" t="s">
        <v>204</v>
      </c>
      <c r="E45" s="16" t="s">
        <v>49</v>
      </c>
      <c r="F45" s="16" t="s">
        <v>50</v>
      </c>
      <c r="G45" s="2" t="s">
        <v>245</v>
      </c>
      <c r="H45" s="43" t="s">
        <v>137</v>
      </c>
      <c r="I45" s="16" t="s">
        <v>138</v>
      </c>
      <c r="J45" s="17" t="s">
        <v>92</v>
      </c>
      <c r="K45" s="17">
        <v>11</v>
      </c>
      <c r="L45" s="18">
        <v>80</v>
      </c>
      <c r="M45" s="30">
        <v>383</v>
      </c>
      <c r="N45" s="31">
        <v>583.63</v>
      </c>
      <c r="O45" s="32">
        <v>880</v>
      </c>
      <c r="P45" s="32">
        <v>4213</v>
      </c>
      <c r="Q45" s="32">
        <v>6419.93</v>
      </c>
      <c r="R45" s="47">
        <v>5</v>
      </c>
      <c r="S45" s="21">
        <v>46134</v>
      </c>
      <c r="T45" s="33">
        <v>46139</v>
      </c>
      <c r="U45" s="34">
        <v>17</v>
      </c>
      <c r="V45" s="35">
        <v>18</v>
      </c>
      <c r="W45" s="33"/>
      <c r="X45" s="33"/>
      <c r="Y45" s="36">
        <v>52</v>
      </c>
      <c r="Z45" s="36">
        <v>52</v>
      </c>
      <c r="AA45" s="25">
        <v>1</v>
      </c>
      <c r="AB45" s="37">
        <v>0.63636363636363635</v>
      </c>
      <c r="AC45" s="38">
        <v>-0.36363636363636365</v>
      </c>
      <c r="AD45" s="39">
        <v>6419.93</v>
      </c>
      <c r="AE45" s="39">
        <v>4085.4100000000003</v>
      </c>
      <c r="AF45" s="39">
        <v>2334.52</v>
      </c>
      <c r="AG45" s="29">
        <v>7</v>
      </c>
      <c r="AH45" s="29">
        <v>7</v>
      </c>
      <c r="AI45" s="69">
        <v>0.63636363636363635</v>
      </c>
      <c r="AJ45" s="46">
        <v>4085.41</v>
      </c>
    </row>
    <row r="46" spans="2:36">
      <c r="B46" s="62" t="s">
        <v>389</v>
      </c>
      <c r="C46" s="14" t="s">
        <v>204</v>
      </c>
      <c r="D46" s="16" t="s">
        <v>204</v>
      </c>
      <c r="E46" s="16" t="s">
        <v>49</v>
      </c>
      <c r="F46" s="16" t="s">
        <v>52</v>
      </c>
      <c r="G46" s="2" t="s">
        <v>246</v>
      </c>
      <c r="H46" s="43" t="s">
        <v>139</v>
      </c>
      <c r="I46" s="16" t="s">
        <v>140</v>
      </c>
      <c r="J46" s="17" t="s">
        <v>84</v>
      </c>
      <c r="K46" s="17">
        <v>1</v>
      </c>
      <c r="L46" s="18">
        <v>11999.816000000001</v>
      </c>
      <c r="M46" s="30">
        <v>37197.436000000002</v>
      </c>
      <c r="N46" s="31">
        <v>58431.73</v>
      </c>
      <c r="O46" s="32">
        <v>11999.816000000001</v>
      </c>
      <c r="P46" s="32">
        <v>37197.436000000002</v>
      </c>
      <c r="Q46" s="32">
        <v>58431.73</v>
      </c>
      <c r="R46" s="47">
        <v>2</v>
      </c>
      <c r="S46" s="21">
        <v>46135</v>
      </c>
      <c r="T46" s="33">
        <v>46137</v>
      </c>
      <c r="U46" s="34">
        <v>17</v>
      </c>
      <c r="V46" s="35">
        <v>17</v>
      </c>
      <c r="W46" s="33"/>
      <c r="X46" s="33"/>
      <c r="Y46" s="36">
        <v>52</v>
      </c>
      <c r="Z46" s="36">
        <v>52</v>
      </c>
      <c r="AA46" s="25">
        <v>1</v>
      </c>
      <c r="AB46" s="37">
        <v>1</v>
      </c>
      <c r="AC46" s="38">
        <v>0</v>
      </c>
      <c r="AD46" s="39">
        <v>58431.73</v>
      </c>
      <c r="AE46" s="39">
        <v>58431.73</v>
      </c>
      <c r="AF46" s="39">
        <v>0</v>
      </c>
      <c r="AG46" s="29">
        <v>1</v>
      </c>
      <c r="AH46" s="29">
        <v>1</v>
      </c>
      <c r="AI46" s="69">
        <v>1</v>
      </c>
      <c r="AJ46" s="46">
        <v>58431.73</v>
      </c>
    </row>
    <row r="47" spans="2:36">
      <c r="B47" s="62" t="s">
        <v>389</v>
      </c>
      <c r="C47" s="14" t="s">
        <v>204</v>
      </c>
      <c r="D47" s="16" t="s">
        <v>204</v>
      </c>
      <c r="E47" s="16" t="s">
        <v>74</v>
      </c>
      <c r="F47" s="16" t="s">
        <v>77</v>
      </c>
      <c r="G47" s="2" t="s">
        <v>247</v>
      </c>
      <c r="H47" s="43" t="s">
        <v>141</v>
      </c>
      <c r="I47" s="16" t="s">
        <v>142</v>
      </c>
      <c r="J47" s="17" t="s">
        <v>84</v>
      </c>
      <c r="K47" s="17">
        <v>1</v>
      </c>
      <c r="L47" s="18">
        <v>112194.63200000001</v>
      </c>
      <c r="M47" s="30">
        <v>376620.20658500004</v>
      </c>
      <c r="N47" s="31">
        <v>561557.84192699997</v>
      </c>
      <c r="O47" s="32">
        <v>112194.63200000001</v>
      </c>
      <c r="P47" s="32">
        <v>376620.20658500004</v>
      </c>
      <c r="Q47" s="32">
        <v>561557.84192699997</v>
      </c>
      <c r="R47" s="47">
        <v>10</v>
      </c>
      <c r="S47" s="21">
        <v>46137</v>
      </c>
      <c r="T47" s="33">
        <v>46147</v>
      </c>
      <c r="U47" s="34">
        <v>17</v>
      </c>
      <c r="V47" s="35">
        <v>19</v>
      </c>
      <c r="W47" s="33"/>
      <c r="X47" s="33"/>
      <c r="Y47" s="36">
        <v>52</v>
      </c>
      <c r="Z47" s="36">
        <v>52</v>
      </c>
      <c r="AA47" s="25">
        <v>1</v>
      </c>
      <c r="AB47" s="37">
        <v>0</v>
      </c>
      <c r="AC47" s="38">
        <v>-1</v>
      </c>
      <c r="AD47" s="39">
        <v>561557.84192699997</v>
      </c>
      <c r="AE47" s="39">
        <v>0</v>
      </c>
      <c r="AF47" s="39">
        <v>561557.84192699997</v>
      </c>
      <c r="AG47" s="29">
        <v>0</v>
      </c>
      <c r="AH47" s="29">
        <v>0</v>
      </c>
      <c r="AI47" s="69">
        <v>0</v>
      </c>
      <c r="AJ47" s="46">
        <v>0</v>
      </c>
    </row>
    <row r="48" spans="2:36">
      <c r="B48" s="62" t="s">
        <v>389</v>
      </c>
      <c r="C48" s="14" t="s">
        <v>204</v>
      </c>
      <c r="D48" s="16" t="s">
        <v>204</v>
      </c>
      <c r="E48" s="16" t="s">
        <v>75</v>
      </c>
      <c r="F48" s="16" t="s">
        <v>58</v>
      </c>
      <c r="G48" s="2" t="s">
        <v>248</v>
      </c>
      <c r="H48" s="43" t="s">
        <v>143</v>
      </c>
      <c r="I48" s="16" t="s">
        <v>144</v>
      </c>
      <c r="J48" s="17" t="s">
        <v>84</v>
      </c>
      <c r="K48" s="17">
        <v>1</v>
      </c>
      <c r="L48" s="18">
        <v>38155.184000000001</v>
      </c>
      <c r="M48" s="30">
        <v>377918.07520399999</v>
      </c>
      <c r="N48" s="31">
        <v>517512.12573500001</v>
      </c>
      <c r="O48" s="32">
        <v>38155.184000000001</v>
      </c>
      <c r="P48" s="32">
        <v>377918.07520399999</v>
      </c>
      <c r="Q48" s="32">
        <v>517512.12573500001</v>
      </c>
      <c r="R48" s="47">
        <v>5</v>
      </c>
      <c r="S48" s="21">
        <v>46139</v>
      </c>
      <c r="T48" s="33">
        <v>46144</v>
      </c>
      <c r="U48" s="34">
        <v>18</v>
      </c>
      <c r="V48" s="35">
        <v>18</v>
      </c>
      <c r="W48" s="33"/>
      <c r="X48" s="33"/>
      <c r="Y48" s="36">
        <v>52</v>
      </c>
      <c r="Z48" s="36">
        <v>52</v>
      </c>
      <c r="AA48" s="25">
        <v>1</v>
      </c>
      <c r="AB48" s="37">
        <v>1</v>
      </c>
      <c r="AC48" s="38">
        <v>0</v>
      </c>
      <c r="AD48" s="39">
        <v>517512.12573500001</v>
      </c>
      <c r="AE48" s="39">
        <v>517512.12573500001</v>
      </c>
      <c r="AF48" s="39">
        <v>0</v>
      </c>
      <c r="AG48" s="29">
        <v>1</v>
      </c>
      <c r="AH48" s="29">
        <v>1</v>
      </c>
      <c r="AI48" s="69">
        <v>1</v>
      </c>
      <c r="AJ48" s="46">
        <v>517512.12573500001</v>
      </c>
    </row>
    <row r="49" spans="2:36">
      <c r="B49" s="62" t="s">
        <v>389</v>
      </c>
      <c r="C49" s="14" t="s">
        <v>204</v>
      </c>
      <c r="D49" s="16" t="s">
        <v>204</v>
      </c>
      <c r="E49" s="16" t="s">
        <v>75</v>
      </c>
      <c r="F49" s="16" t="s">
        <v>58</v>
      </c>
      <c r="G49" s="2" t="s">
        <v>249</v>
      </c>
      <c r="H49" s="43" t="s">
        <v>145</v>
      </c>
      <c r="I49" s="16" t="s">
        <v>146</v>
      </c>
      <c r="J49" s="17" t="s">
        <v>92</v>
      </c>
      <c r="K49" s="17">
        <v>12</v>
      </c>
      <c r="L49" s="18">
        <v>296.00799999999998</v>
      </c>
      <c r="M49" s="30">
        <v>307.108</v>
      </c>
      <c r="N49" s="31">
        <v>563.79</v>
      </c>
      <c r="O49" s="32">
        <v>3552.0959999999995</v>
      </c>
      <c r="P49" s="32">
        <v>3685.2960000000003</v>
      </c>
      <c r="Q49" s="32">
        <v>6765.48</v>
      </c>
      <c r="R49" s="47">
        <v>10</v>
      </c>
      <c r="S49" s="21">
        <v>46140</v>
      </c>
      <c r="T49" s="33">
        <v>46150</v>
      </c>
      <c r="U49" s="34">
        <v>18</v>
      </c>
      <c r="V49" s="35">
        <v>19</v>
      </c>
      <c r="W49" s="33"/>
      <c r="X49" s="33"/>
      <c r="Y49" s="36">
        <v>52</v>
      </c>
      <c r="Z49" s="36">
        <v>52</v>
      </c>
      <c r="AA49" s="25">
        <v>1</v>
      </c>
      <c r="AB49" s="37">
        <v>0.33333333333333331</v>
      </c>
      <c r="AC49" s="38">
        <v>-0.66666666666666674</v>
      </c>
      <c r="AD49" s="39">
        <v>6765.48</v>
      </c>
      <c r="AE49" s="39">
        <v>2255.16</v>
      </c>
      <c r="AF49" s="39">
        <v>4510.32</v>
      </c>
      <c r="AG49" s="29">
        <v>4</v>
      </c>
      <c r="AH49" s="29">
        <v>4</v>
      </c>
      <c r="AI49" s="69">
        <v>0.33333333333333331</v>
      </c>
      <c r="AJ49" s="46">
        <v>2255.16</v>
      </c>
    </row>
    <row r="50" spans="2:36">
      <c r="B50" s="62" t="s">
        <v>389</v>
      </c>
      <c r="C50" s="14" t="s">
        <v>204</v>
      </c>
      <c r="D50" s="16" t="s">
        <v>204</v>
      </c>
      <c r="E50" s="16" t="s">
        <v>75</v>
      </c>
      <c r="F50" s="16" t="s">
        <v>58</v>
      </c>
      <c r="G50" s="2" t="s">
        <v>250</v>
      </c>
      <c r="H50" s="43" t="s">
        <v>147</v>
      </c>
      <c r="I50" s="16" t="s">
        <v>148</v>
      </c>
      <c r="J50" s="17" t="s">
        <v>92</v>
      </c>
      <c r="K50" s="17">
        <v>12</v>
      </c>
      <c r="L50" s="18">
        <v>80</v>
      </c>
      <c r="M50" s="30">
        <v>83</v>
      </c>
      <c r="N50" s="31">
        <v>152.38</v>
      </c>
      <c r="O50" s="32">
        <v>960</v>
      </c>
      <c r="P50" s="32">
        <v>996</v>
      </c>
      <c r="Q50" s="32">
        <v>1828.56</v>
      </c>
      <c r="R50" s="47">
        <v>9</v>
      </c>
      <c r="S50" s="21">
        <v>46142</v>
      </c>
      <c r="T50" s="33">
        <v>46151</v>
      </c>
      <c r="U50" s="34">
        <v>18</v>
      </c>
      <c r="V50" s="35">
        <v>19</v>
      </c>
      <c r="W50" s="33"/>
      <c r="X50" s="33"/>
      <c r="Y50" s="36">
        <v>52</v>
      </c>
      <c r="Z50" s="36">
        <v>52</v>
      </c>
      <c r="AA50" s="25">
        <v>1</v>
      </c>
      <c r="AB50" s="37">
        <v>0.58333333333333337</v>
      </c>
      <c r="AC50" s="38">
        <v>-0.41666666666666663</v>
      </c>
      <c r="AD50" s="39">
        <v>1828.56</v>
      </c>
      <c r="AE50" s="39">
        <v>1066.6600000000001</v>
      </c>
      <c r="AF50" s="39">
        <v>761.89999999999986</v>
      </c>
      <c r="AG50" s="29">
        <v>7</v>
      </c>
      <c r="AH50" s="29">
        <v>7</v>
      </c>
      <c r="AI50" s="69">
        <v>0.58333333333333337</v>
      </c>
      <c r="AJ50" s="46">
        <v>1066.6599999999999</v>
      </c>
    </row>
    <row r="51" spans="2:36">
      <c r="B51" s="62" t="s">
        <v>389</v>
      </c>
      <c r="C51" s="14" t="s">
        <v>204</v>
      </c>
      <c r="D51" s="16" t="s">
        <v>204</v>
      </c>
      <c r="E51" s="16" t="s">
        <v>45</v>
      </c>
      <c r="F51" s="16" t="s">
        <v>57</v>
      </c>
      <c r="G51" s="2" t="s">
        <v>251</v>
      </c>
      <c r="H51" s="43" t="s">
        <v>149</v>
      </c>
      <c r="I51" s="16" t="s">
        <v>150</v>
      </c>
      <c r="J51" s="17" t="s">
        <v>92</v>
      </c>
      <c r="K51" s="17">
        <v>1</v>
      </c>
      <c r="L51" s="18">
        <v>2952.0080000000003</v>
      </c>
      <c r="M51" s="30">
        <v>3749.1280000000002</v>
      </c>
      <c r="N51" s="31">
        <v>6609.4</v>
      </c>
      <c r="O51" s="32">
        <v>2952.0080000000003</v>
      </c>
      <c r="P51" s="32">
        <v>3749.1280000000002</v>
      </c>
      <c r="Q51" s="32">
        <v>6609.4</v>
      </c>
      <c r="R51" s="47">
        <v>8</v>
      </c>
      <c r="S51" s="21">
        <v>46145</v>
      </c>
      <c r="T51" s="33">
        <v>46153</v>
      </c>
      <c r="U51" s="34">
        <v>18</v>
      </c>
      <c r="V51" s="35">
        <v>20</v>
      </c>
      <c r="W51" s="33"/>
      <c r="X51" s="33"/>
      <c r="Y51" s="36">
        <v>52</v>
      </c>
      <c r="Z51" s="36">
        <v>52</v>
      </c>
      <c r="AA51" s="25">
        <v>1</v>
      </c>
      <c r="AB51" s="37">
        <v>0</v>
      </c>
      <c r="AC51" s="38">
        <v>-1</v>
      </c>
      <c r="AD51" s="39">
        <v>6609.4</v>
      </c>
      <c r="AE51" s="39">
        <v>0</v>
      </c>
      <c r="AF51" s="39">
        <v>6609.4</v>
      </c>
      <c r="AG51" s="29">
        <v>0</v>
      </c>
      <c r="AH51" s="29">
        <v>0</v>
      </c>
      <c r="AI51" s="69">
        <v>0</v>
      </c>
      <c r="AJ51" s="46">
        <v>0</v>
      </c>
    </row>
    <row r="52" spans="2:36">
      <c r="B52" s="62" t="s">
        <v>389</v>
      </c>
      <c r="C52" s="14" t="s">
        <v>204</v>
      </c>
      <c r="D52" s="16" t="s">
        <v>204</v>
      </c>
      <c r="E52" s="16" t="s">
        <v>45</v>
      </c>
      <c r="F52" s="16" t="s">
        <v>57</v>
      </c>
      <c r="G52" s="2" t="s">
        <v>252</v>
      </c>
      <c r="H52" s="43" t="s">
        <v>149</v>
      </c>
      <c r="I52" s="16" t="s">
        <v>151</v>
      </c>
      <c r="J52" s="17" t="s">
        <v>92</v>
      </c>
      <c r="K52" s="17">
        <v>2</v>
      </c>
      <c r="L52" s="18">
        <v>2952.0080000000003</v>
      </c>
      <c r="M52" s="30">
        <v>3749.1280000000002</v>
      </c>
      <c r="N52" s="31">
        <v>6609.4</v>
      </c>
      <c r="O52" s="32">
        <v>5904.0160000000005</v>
      </c>
      <c r="P52" s="32">
        <v>7498.2560000000003</v>
      </c>
      <c r="Q52" s="32">
        <v>13218.8</v>
      </c>
      <c r="R52" s="47">
        <v>8</v>
      </c>
      <c r="S52" s="21">
        <v>46147</v>
      </c>
      <c r="T52" s="33">
        <v>46155</v>
      </c>
      <c r="U52" s="34">
        <v>19</v>
      </c>
      <c r="V52" s="35">
        <v>20</v>
      </c>
      <c r="W52" s="33"/>
      <c r="X52" s="33"/>
      <c r="Y52" s="36">
        <v>52</v>
      </c>
      <c r="Z52" s="36">
        <v>52</v>
      </c>
      <c r="AA52" s="25">
        <v>1</v>
      </c>
      <c r="AB52" s="37">
        <v>0</v>
      </c>
      <c r="AC52" s="38">
        <v>-1</v>
      </c>
      <c r="AD52" s="39">
        <v>13218.8</v>
      </c>
      <c r="AE52" s="39">
        <v>0</v>
      </c>
      <c r="AF52" s="39">
        <v>13218.8</v>
      </c>
      <c r="AG52" s="29">
        <v>0</v>
      </c>
      <c r="AH52" s="29">
        <v>0</v>
      </c>
      <c r="AI52" s="69">
        <v>0</v>
      </c>
      <c r="AJ52" s="46">
        <v>0</v>
      </c>
    </row>
    <row r="53" spans="2:36">
      <c r="B53" s="62" t="s">
        <v>389</v>
      </c>
      <c r="C53" s="14" t="s">
        <v>204</v>
      </c>
      <c r="D53" s="16" t="s">
        <v>204</v>
      </c>
      <c r="E53" s="16" t="s">
        <v>45</v>
      </c>
      <c r="F53" s="16" t="s">
        <v>57</v>
      </c>
      <c r="G53" s="2" t="s">
        <v>253</v>
      </c>
      <c r="H53" s="43" t="s">
        <v>149</v>
      </c>
      <c r="I53" s="16" t="s">
        <v>152</v>
      </c>
      <c r="J53" s="17" t="s">
        <v>92</v>
      </c>
      <c r="K53" s="17">
        <v>4</v>
      </c>
      <c r="L53" s="18">
        <v>2952.0080000000003</v>
      </c>
      <c r="M53" s="30">
        <v>3749.1280000000002</v>
      </c>
      <c r="N53" s="31">
        <v>6609.4</v>
      </c>
      <c r="O53" s="32">
        <v>11808.032000000001</v>
      </c>
      <c r="P53" s="32">
        <v>14996.512000000001</v>
      </c>
      <c r="Q53" s="32">
        <v>26437.599999999999</v>
      </c>
      <c r="R53" s="47">
        <v>10</v>
      </c>
      <c r="S53" s="21">
        <v>46149</v>
      </c>
      <c r="T53" s="33">
        <v>46159</v>
      </c>
      <c r="U53" s="34">
        <v>19</v>
      </c>
      <c r="V53" s="35">
        <v>20</v>
      </c>
      <c r="W53" s="33"/>
      <c r="X53" s="33"/>
      <c r="Y53" s="36">
        <v>52</v>
      </c>
      <c r="Z53" s="36">
        <v>52</v>
      </c>
      <c r="AA53" s="25">
        <v>1</v>
      </c>
      <c r="AB53" s="37">
        <v>0</v>
      </c>
      <c r="AC53" s="38">
        <v>-1</v>
      </c>
      <c r="AD53" s="39">
        <v>26437.599999999999</v>
      </c>
      <c r="AE53" s="39">
        <v>0</v>
      </c>
      <c r="AF53" s="39">
        <v>26437.599999999999</v>
      </c>
      <c r="AG53" s="29">
        <v>0</v>
      </c>
      <c r="AH53" s="29">
        <v>0</v>
      </c>
      <c r="AI53" s="69">
        <v>0</v>
      </c>
      <c r="AJ53" s="46">
        <v>0</v>
      </c>
    </row>
    <row r="54" spans="2:36">
      <c r="B54" s="62" t="s">
        <v>389</v>
      </c>
      <c r="C54" s="14" t="s">
        <v>204</v>
      </c>
      <c r="D54" s="16" t="s">
        <v>204</v>
      </c>
      <c r="E54" s="16" t="s">
        <v>45</v>
      </c>
      <c r="F54" s="16" t="s">
        <v>57</v>
      </c>
      <c r="G54" s="2" t="s">
        <v>254</v>
      </c>
      <c r="H54" s="43" t="s">
        <v>149</v>
      </c>
      <c r="I54" s="16" t="s">
        <v>153</v>
      </c>
      <c r="J54" s="17" t="s">
        <v>92</v>
      </c>
      <c r="K54" s="17">
        <v>4</v>
      </c>
      <c r="L54" s="18">
        <v>2952.0080000000003</v>
      </c>
      <c r="M54" s="30">
        <v>3749.1280000000002</v>
      </c>
      <c r="N54" s="31">
        <v>6609.4</v>
      </c>
      <c r="O54" s="32">
        <v>11808.032000000001</v>
      </c>
      <c r="P54" s="32">
        <v>14996.512000000001</v>
      </c>
      <c r="Q54" s="32">
        <v>26437.599999999999</v>
      </c>
      <c r="R54" s="47">
        <v>4</v>
      </c>
      <c r="S54" s="21">
        <v>46152</v>
      </c>
      <c r="T54" s="33">
        <v>46156</v>
      </c>
      <c r="U54" s="34">
        <v>19</v>
      </c>
      <c r="V54" s="35">
        <v>20</v>
      </c>
      <c r="W54" s="33"/>
      <c r="X54" s="33"/>
      <c r="Y54" s="36">
        <v>52</v>
      </c>
      <c r="Z54" s="36">
        <v>52</v>
      </c>
      <c r="AA54" s="25">
        <v>1</v>
      </c>
      <c r="AB54" s="37">
        <v>0.5</v>
      </c>
      <c r="AC54" s="38">
        <v>-0.5</v>
      </c>
      <c r="AD54" s="39">
        <v>26437.599999999999</v>
      </c>
      <c r="AE54" s="39">
        <v>13218.8</v>
      </c>
      <c r="AF54" s="39">
        <v>13218.8</v>
      </c>
      <c r="AG54" s="29">
        <v>2</v>
      </c>
      <c r="AH54" s="29">
        <v>2</v>
      </c>
      <c r="AI54" s="69">
        <v>0.5</v>
      </c>
      <c r="AJ54" s="46">
        <v>13218.8</v>
      </c>
    </row>
    <row r="55" spans="2:36">
      <c r="B55" s="62" t="s">
        <v>389</v>
      </c>
      <c r="C55" s="14" t="s">
        <v>204</v>
      </c>
      <c r="D55" s="16" t="s">
        <v>204</v>
      </c>
      <c r="E55" s="16" t="s">
        <v>45</v>
      </c>
      <c r="F55" s="16" t="s">
        <v>57</v>
      </c>
      <c r="G55" s="2" t="s">
        <v>255</v>
      </c>
      <c r="H55" s="43" t="s">
        <v>149</v>
      </c>
      <c r="I55" s="16" t="s">
        <v>154</v>
      </c>
      <c r="J55" s="17" t="s">
        <v>92</v>
      </c>
      <c r="K55" s="17">
        <v>1</v>
      </c>
      <c r="L55" s="18">
        <v>2952.0080000000003</v>
      </c>
      <c r="M55" s="30">
        <v>3749.1280000000002</v>
      </c>
      <c r="N55" s="31">
        <v>6609.4</v>
      </c>
      <c r="O55" s="32">
        <v>2952.0080000000003</v>
      </c>
      <c r="P55" s="32">
        <v>3749.1280000000002</v>
      </c>
      <c r="Q55" s="32">
        <v>6609.4</v>
      </c>
      <c r="R55" s="47">
        <v>4</v>
      </c>
      <c r="S55" s="21">
        <v>46153</v>
      </c>
      <c r="T55" s="33">
        <v>46157</v>
      </c>
      <c r="U55" s="34">
        <v>20</v>
      </c>
      <c r="V55" s="35">
        <v>20</v>
      </c>
      <c r="W55" s="33"/>
      <c r="X55" s="33"/>
      <c r="Y55" s="36">
        <v>52</v>
      </c>
      <c r="Z55" s="36">
        <v>52</v>
      </c>
      <c r="AA55" s="25">
        <v>1</v>
      </c>
      <c r="AB55" s="37">
        <v>0</v>
      </c>
      <c r="AC55" s="38">
        <v>-1</v>
      </c>
      <c r="AD55" s="39">
        <v>6609.4</v>
      </c>
      <c r="AE55" s="39">
        <v>0</v>
      </c>
      <c r="AF55" s="39">
        <v>6609.4</v>
      </c>
      <c r="AG55" s="29">
        <v>0</v>
      </c>
      <c r="AH55" s="29">
        <v>0</v>
      </c>
      <c r="AI55" s="69">
        <v>0</v>
      </c>
      <c r="AJ55" s="46">
        <v>0</v>
      </c>
    </row>
    <row r="56" spans="2:36">
      <c r="B56" s="62" t="s">
        <v>389</v>
      </c>
      <c r="C56" s="14" t="s">
        <v>204</v>
      </c>
      <c r="D56" s="16" t="s">
        <v>204</v>
      </c>
      <c r="E56" s="16" t="s">
        <v>45</v>
      </c>
      <c r="F56" s="16" t="s">
        <v>57</v>
      </c>
      <c r="G56" s="2" t="s">
        <v>256</v>
      </c>
      <c r="H56" s="43" t="s">
        <v>155</v>
      </c>
      <c r="I56" s="16" t="s">
        <v>156</v>
      </c>
      <c r="J56" s="17" t="s">
        <v>92</v>
      </c>
      <c r="K56" s="17">
        <v>2</v>
      </c>
      <c r="L56" s="18">
        <v>2117.2959999999998</v>
      </c>
      <c r="M56" s="30">
        <v>2919.5159999999996</v>
      </c>
      <c r="N56" s="31">
        <v>5071.8599999999997</v>
      </c>
      <c r="O56" s="32">
        <v>4234.5919999999996</v>
      </c>
      <c r="P56" s="32">
        <v>5839.0319999999992</v>
      </c>
      <c r="Q56" s="32">
        <v>10143.719999999999</v>
      </c>
      <c r="R56" s="47">
        <v>4</v>
      </c>
      <c r="S56" s="21">
        <v>46156</v>
      </c>
      <c r="T56" s="33">
        <v>46160</v>
      </c>
      <c r="U56" s="34">
        <v>20</v>
      </c>
      <c r="V56" s="35">
        <v>21</v>
      </c>
      <c r="W56" s="33"/>
      <c r="X56" s="33"/>
      <c r="Y56" s="36">
        <v>52</v>
      </c>
      <c r="Z56" s="36">
        <v>52</v>
      </c>
      <c r="AA56" s="25">
        <v>1</v>
      </c>
      <c r="AB56" s="37">
        <v>0.5</v>
      </c>
      <c r="AC56" s="38">
        <v>-0.5</v>
      </c>
      <c r="AD56" s="39">
        <v>10143.719999999999</v>
      </c>
      <c r="AE56" s="39">
        <v>5071.8599999999997</v>
      </c>
      <c r="AF56" s="39">
        <v>5071.8599999999997</v>
      </c>
      <c r="AG56" s="29">
        <v>1</v>
      </c>
      <c r="AH56" s="29">
        <v>1</v>
      </c>
      <c r="AI56" s="69">
        <v>0.5</v>
      </c>
      <c r="AJ56" s="46">
        <v>5071.8599999999997</v>
      </c>
    </row>
    <row r="57" spans="2:36">
      <c r="B57" s="62" t="s">
        <v>389</v>
      </c>
      <c r="C57" s="14" t="s">
        <v>204</v>
      </c>
      <c r="D57" s="16" t="s">
        <v>204</v>
      </c>
      <c r="E57" s="16" t="s">
        <v>45</v>
      </c>
      <c r="F57" s="16" t="s">
        <v>57</v>
      </c>
      <c r="G57" s="2" t="s">
        <v>257</v>
      </c>
      <c r="H57" s="43" t="s">
        <v>155</v>
      </c>
      <c r="I57" s="16" t="s">
        <v>157</v>
      </c>
      <c r="J57" s="17" t="s">
        <v>92</v>
      </c>
      <c r="K57" s="17">
        <v>1</v>
      </c>
      <c r="L57" s="18">
        <v>2117.2959999999998</v>
      </c>
      <c r="M57" s="30">
        <v>2919.5159999999996</v>
      </c>
      <c r="N57" s="31">
        <v>5071.8599999999997</v>
      </c>
      <c r="O57" s="32">
        <v>2117.2959999999998</v>
      </c>
      <c r="P57" s="32">
        <v>2919.5159999999996</v>
      </c>
      <c r="Q57" s="32">
        <v>5071.8599999999997</v>
      </c>
      <c r="R57" s="47">
        <v>5</v>
      </c>
      <c r="S57" s="21">
        <v>46158</v>
      </c>
      <c r="T57" s="33">
        <v>46163</v>
      </c>
      <c r="U57" s="34">
        <v>20</v>
      </c>
      <c r="V57" s="35">
        <v>21</v>
      </c>
      <c r="W57" s="33"/>
      <c r="X57" s="33"/>
      <c r="Y57" s="36">
        <v>52</v>
      </c>
      <c r="Z57" s="36">
        <v>52</v>
      </c>
      <c r="AA57" s="25">
        <v>1</v>
      </c>
      <c r="AB57" s="37">
        <v>1</v>
      </c>
      <c r="AC57" s="38">
        <v>0</v>
      </c>
      <c r="AD57" s="39">
        <v>5071.8599999999997</v>
      </c>
      <c r="AE57" s="39">
        <v>5071.8599999999997</v>
      </c>
      <c r="AF57" s="39">
        <v>0</v>
      </c>
      <c r="AG57" s="29">
        <v>1</v>
      </c>
      <c r="AH57" s="29">
        <v>1</v>
      </c>
      <c r="AI57" s="69">
        <v>1</v>
      </c>
      <c r="AJ57" s="46">
        <v>5071.8599999999997</v>
      </c>
    </row>
    <row r="58" spans="2:36">
      <c r="B58" s="62" t="s">
        <v>389</v>
      </c>
      <c r="C58" s="14" t="s">
        <v>204</v>
      </c>
      <c r="D58" s="16" t="s">
        <v>204</v>
      </c>
      <c r="E58" s="16" t="s">
        <v>45</v>
      </c>
      <c r="F58" s="16" t="s">
        <v>57</v>
      </c>
      <c r="G58" s="2" t="s">
        <v>258</v>
      </c>
      <c r="H58" s="43" t="s">
        <v>158</v>
      </c>
      <c r="I58" s="16" t="s">
        <v>159</v>
      </c>
      <c r="J58" s="17" t="s">
        <v>92</v>
      </c>
      <c r="K58" s="17">
        <v>2</v>
      </c>
      <c r="L58" s="18">
        <v>3786.5839999999998</v>
      </c>
      <c r="M58" s="30">
        <v>4651.4039999999995</v>
      </c>
      <c r="N58" s="31">
        <v>8251.34</v>
      </c>
      <c r="O58" s="32">
        <v>7573.1679999999997</v>
      </c>
      <c r="P58" s="32">
        <v>9302.8079999999991</v>
      </c>
      <c r="Q58" s="32">
        <v>16502.68</v>
      </c>
      <c r="R58" s="47">
        <v>9</v>
      </c>
      <c r="S58" s="21">
        <v>46159</v>
      </c>
      <c r="T58" s="33">
        <v>46168</v>
      </c>
      <c r="U58" s="34">
        <v>20</v>
      </c>
      <c r="V58" s="35">
        <v>22</v>
      </c>
      <c r="W58" s="33"/>
      <c r="X58" s="33"/>
      <c r="Y58" s="36">
        <v>52</v>
      </c>
      <c r="Z58" s="36">
        <v>52</v>
      </c>
      <c r="AA58" s="25">
        <v>1</v>
      </c>
      <c r="AB58" s="37">
        <v>0.5</v>
      </c>
      <c r="AC58" s="38">
        <v>-0.5</v>
      </c>
      <c r="AD58" s="39">
        <v>16502.68</v>
      </c>
      <c r="AE58" s="39">
        <v>8251.34</v>
      </c>
      <c r="AF58" s="39">
        <v>8251.34</v>
      </c>
      <c r="AG58" s="29">
        <v>1</v>
      </c>
      <c r="AH58" s="29">
        <v>1</v>
      </c>
      <c r="AI58" s="69">
        <v>0.5</v>
      </c>
      <c r="AJ58" s="46">
        <v>8251.34</v>
      </c>
    </row>
    <row r="59" spans="2:36">
      <c r="B59" s="62" t="s">
        <v>389</v>
      </c>
      <c r="C59" s="14" t="s">
        <v>204</v>
      </c>
      <c r="D59" s="16" t="s">
        <v>204</v>
      </c>
      <c r="E59" s="16" t="s">
        <v>45</v>
      </c>
      <c r="F59" s="16" t="s">
        <v>76</v>
      </c>
      <c r="G59" s="2" t="s">
        <v>259</v>
      </c>
      <c r="H59" s="43" t="s">
        <v>160</v>
      </c>
      <c r="I59" s="16" t="s">
        <v>161</v>
      </c>
      <c r="J59" s="17" t="s">
        <v>92</v>
      </c>
      <c r="K59" s="17">
        <v>1</v>
      </c>
      <c r="L59" s="18">
        <v>2464</v>
      </c>
      <c r="M59" s="30">
        <v>8662.58</v>
      </c>
      <c r="N59" s="31">
        <v>13470.86</v>
      </c>
      <c r="O59" s="32">
        <v>2464</v>
      </c>
      <c r="P59" s="32">
        <v>8662.58</v>
      </c>
      <c r="Q59" s="32">
        <v>13470.86</v>
      </c>
      <c r="R59" s="47">
        <v>4</v>
      </c>
      <c r="S59" s="21">
        <v>46160</v>
      </c>
      <c r="T59" s="33">
        <v>46164</v>
      </c>
      <c r="U59" s="34">
        <v>21</v>
      </c>
      <c r="V59" s="35">
        <v>21</v>
      </c>
      <c r="W59" s="33"/>
      <c r="X59" s="33"/>
      <c r="Y59" s="36">
        <v>52</v>
      </c>
      <c r="Z59" s="36">
        <v>52</v>
      </c>
      <c r="AA59" s="25">
        <v>1</v>
      </c>
      <c r="AB59" s="37">
        <v>1</v>
      </c>
      <c r="AC59" s="38">
        <v>0</v>
      </c>
      <c r="AD59" s="39">
        <v>13470.86</v>
      </c>
      <c r="AE59" s="39">
        <v>13470.86</v>
      </c>
      <c r="AF59" s="39">
        <v>0</v>
      </c>
      <c r="AG59" s="29">
        <v>1</v>
      </c>
      <c r="AH59" s="29">
        <v>1</v>
      </c>
      <c r="AI59" s="69">
        <v>1</v>
      </c>
      <c r="AJ59" s="46">
        <v>13470.86</v>
      </c>
    </row>
    <row r="60" spans="2:36">
      <c r="B60" s="62" t="s">
        <v>389</v>
      </c>
      <c r="C60" s="14" t="s">
        <v>204</v>
      </c>
      <c r="D60" s="16" t="s">
        <v>204</v>
      </c>
      <c r="E60" s="16" t="s">
        <v>45</v>
      </c>
      <c r="F60" s="16" t="s">
        <v>76</v>
      </c>
      <c r="G60" s="2" t="s">
        <v>260</v>
      </c>
      <c r="H60" s="43" t="s">
        <v>160</v>
      </c>
      <c r="I60" s="16" t="s">
        <v>162</v>
      </c>
      <c r="J60" s="17" t="s">
        <v>92</v>
      </c>
      <c r="K60" s="17">
        <v>1</v>
      </c>
      <c r="L60" s="18">
        <v>2464</v>
      </c>
      <c r="M60" s="30">
        <v>8662.58</v>
      </c>
      <c r="N60" s="31">
        <v>13470.86</v>
      </c>
      <c r="O60" s="32">
        <v>2464</v>
      </c>
      <c r="P60" s="32">
        <v>8662.58</v>
      </c>
      <c r="Q60" s="32">
        <v>13470.86</v>
      </c>
      <c r="R60" s="47">
        <v>4</v>
      </c>
      <c r="S60" s="21">
        <v>46163</v>
      </c>
      <c r="T60" s="33">
        <v>46167</v>
      </c>
      <c r="U60" s="34">
        <v>21</v>
      </c>
      <c r="V60" s="35">
        <v>22</v>
      </c>
      <c r="W60" s="33"/>
      <c r="X60" s="33"/>
      <c r="Y60" s="36">
        <v>52</v>
      </c>
      <c r="Z60" s="36">
        <v>52</v>
      </c>
      <c r="AA60" s="25">
        <v>1</v>
      </c>
      <c r="AB60" s="37">
        <v>0</v>
      </c>
      <c r="AC60" s="38">
        <v>-1</v>
      </c>
      <c r="AD60" s="39">
        <v>13470.86</v>
      </c>
      <c r="AE60" s="39">
        <v>0</v>
      </c>
      <c r="AF60" s="39">
        <v>13470.86</v>
      </c>
      <c r="AG60" s="29">
        <v>0</v>
      </c>
      <c r="AH60" s="29">
        <v>0</v>
      </c>
      <c r="AI60" s="69">
        <v>0</v>
      </c>
      <c r="AJ60" s="46">
        <v>0</v>
      </c>
    </row>
    <row r="61" spans="2:36">
      <c r="B61" s="62" t="s">
        <v>389</v>
      </c>
      <c r="C61" s="14" t="s">
        <v>204</v>
      </c>
      <c r="D61" s="16" t="s">
        <v>204</v>
      </c>
      <c r="E61" s="16" t="s">
        <v>45</v>
      </c>
      <c r="F61" s="16" t="s">
        <v>46</v>
      </c>
      <c r="G61" s="2" t="s">
        <v>261</v>
      </c>
      <c r="H61" s="43" t="s">
        <v>163</v>
      </c>
      <c r="I61" s="16" t="s">
        <v>164</v>
      </c>
      <c r="J61" s="17" t="s">
        <v>92</v>
      </c>
      <c r="K61" s="17">
        <v>1</v>
      </c>
      <c r="L61" s="18">
        <v>3423.5839999999998</v>
      </c>
      <c r="M61" s="30">
        <v>5763.2340000000004</v>
      </c>
      <c r="N61" s="31">
        <v>9699.5499999999993</v>
      </c>
      <c r="O61" s="32">
        <v>3423.5839999999998</v>
      </c>
      <c r="P61" s="32">
        <v>5763.2340000000004</v>
      </c>
      <c r="Q61" s="32">
        <v>9699.5499999999993</v>
      </c>
      <c r="R61" s="47">
        <v>6</v>
      </c>
      <c r="S61" s="21">
        <v>46165</v>
      </c>
      <c r="T61" s="33">
        <v>46171</v>
      </c>
      <c r="U61" s="34">
        <v>21</v>
      </c>
      <c r="V61" s="35">
        <v>22</v>
      </c>
      <c r="W61" s="33"/>
      <c r="X61" s="33"/>
      <c r="Y61" s="36">
        <v>52</v>
      </c>
      <c r="Z61" s="36">
        <v>52</v>
      </c>
      <c r="AA61" s="25">
        <v>1</v>
      </c>
      <c r="AB61" s="37">
        <v>0</v>
      </c>
      <c r="AC61" s="38">
        <v>-1</v>
      </c>
      <c r="AD61" s="39">
        <v>9699.5499999999993</v>
      </c>
      <c r="AE61" s="39">
        <v>0</v>
      </c>
      <c r="AF61" s="39">
        <v>9699.5499999999993</v>
      </c>
      <c r="AG61" s="29">
        <v>0</v>
      </c>
      <c r="AH61" s="29">
        <v>0</v>
      </c>
      <c r="AI61" s="69">
        <v>0</v>
      </c>
      <c r="AJ61" s="46">
        <v>0</v>
      </c>
    </row>
    <row r="62" spans="2:36">
      <c r="B62" s="62" t="s">
        <v>389</v>
      </c>
      <c r="C62" s="14" t="s">
        <v>204</v>
      </c>
      <c r="D62" s="16" t="s">
        <v>204</v>
      </c>
      <c r="E62" s="16" t="s">
        <v>45</v>
      </c>
      <c r="F62" s="16" t="s">
        <v>46</v>
      </c>
      <c r="G62" s="2" t="s">
        <v>262</v>
      </c>
      <c r="H62" s="43" t="s">
        <v>165</v>
      </c>
      <c r="I62" s="16" t="s">
        <v>166</v>
      </c>
      <c r="J62" s="17" t="s">
        <v>92</v>
      </c>
      <c r="K62" s="17">
        <v>1</v>
      </c>
      <c r="L62" s="18">
        <v>3423.5839999999998</v>
      </c>
      <c r="M62" s="30">
        <v>5763.2340000000004</v>
      </c>
      <c r="N62" s="31">
        <v>9699.5499999999993</v>
      </c>
      <c r="O62" s="32">
        <v>3423.5839999999998</v>
      </c>
      <c r="P62" s="32">
        <v>5763.2340000000004</v>
      </c>
      <c r="Q62" s="32">
        <v>9699.5499999999993</v>
      </c>
      <c r="R62" s="47">
        <v>6</v>
      </c>
      <c r="S62" s="21">
        <v>46167</v>
      </c>
      <c r="T62" s="33">
        <v>46173</v>
      </c>
      <c r="U62" s="34">
        <v>22</v>
      </c>
      <c r="V62" s="35">
        <v>22</v>
      </c>
      <c r="W62" s="33"/>
      <c r="X62" s="33"/>
      <c r="Y62" s="36">
        <v>52</v>
      </c>
      <c r="Z62" s="36">
        <v>52</v>
      </c>
      <c r="AA62" s="25">
        <v>1</v>
      </c>
      <c r="AB62" s="37">
        <v>1</v>
      </c>
      <c r="AC62" s="38">
        <v>0</v>
      </c>
      <c r="AD62" s="39">
        <v>9699.5499999999993</v>
      </c>
      <c r="AE62" s="39">
        <v>9699.5499999999993</v>
      </c>
      <c r="AF62" s="39">
        <v>0</v>
      </c>
      <c r="AG62" s="29">
        <v>1</v>
      </c>
      <c r="AH62" s="29">
        <v>1</v>
      </c>
      <c r="AI62" s="69">
        <v>1</v>
      </c>
      <c r="AJ62" s="46">
        <v>9699.5499999999993</v>
      </c>
    </row>
    <row r="63" spans="2:36">
      <c r="B63" s="62" t="s">
        <v>389</v>
      </c>
      <c r="C63" s="14" t="s">
        <v>204</v>
      </c>
      <c r="D63" s="16" t="s">
        <v>204</v>
      </c>
      <c r="E63" s="16" t="s">
        <v>45</v>
      </c>
      <c r="F63" s="16" t="s">
        <v>47</v>
      </c>
      <c r="G63" s="2" t="s">
        <v>263</v>
      </c>
      <c r="H63" s="43" t="s">
        <v>44</v>
      </c>
      <c r="I63" s="16" t="s">
        <v>167</v>
      </c>
      <c r="J63" s="17" t="s">
        <v>92</v>
      </c>
      <c r="K63" s="17">
        <v>6</v>
      </c>
      <c r="L63" s="18">
        <v>1708</v>
      </c>
      <c r="M63" s="30">
        <v>2136.75</v>
      </c>
      <c r="N63" s="31">
        <v>3777.46</v>
      </c>
      <c r="O63" s="32">
        <v>10248</v>
      </c>
      <c r="P63" s="32">
        <v>12820.5</v>
      </c>
      <c r="Q63" s="32">
        <v>22664.760000000002</v>
      </c>
      <c r="R63" s="47">
        <v>6</v>
      </c>
      <c r="S63" s="21">
        <v>46169</v>
      </c>
      <c r="T63" s="33">
        <v>46175</v>
      </c>
      <c r="U63" s="34">
        <v>22</v>
      </c>
      <c r="V63" s="35">
        <v>23</v>
      </c>
      <c r="W63" s="33"/>
      <c r="X63" s="33"/>
      <c r="Y63" s="36">
        <v>52</v>
      </c>
      <c r="Z63" s="36">
        <v>52</v>
      </c>
      <c r="AA63" s="25">
        <v>1</v>
      </c>
      <c r="AB63" s="37">
        <v>1</v>
      </c>
      <c r="AC63" s="38">
        <v>0</v>
      </c>
      <c r="AD63" s="39">
        <v>22664.760000000002</v>
      </c>
      <c r="AE63" s="39">
        <v>22664.760000000002</v>
      </c>
      <c r="AF63" s="39">
        <v>0</v>
      </c>
      <c r="AG63" s="29">
        <v>6</v>
      </c>
      <c r="AH63" s="29">
        <v>6</v>
      </c>
      <c r="AI63" s="69">
        <v>1</v>
      </c>
      <c r="AJ63" s="46">
        <v>22664.760000000002</v>
      </c>
    </row>
    <row r="64" spans="2:36">
      <c r="B64" s="62" t="s">
        <v>389</v>
      </c>
      <c r="C64" s="14" t="s">
        <v>204</v>
      </c>
      <c r="D64" s="16" t="s">
        <v>204</v>
      </c>
      <c r="E64" s="16" t="s">
        <v>45</v>
      </c>
      <c r="F64" s="16" t="s">
        <v>47</v>
      </c>
      <c r="G64" s="2" t="s">
        <v>264</v>
      </c>
      <c r="H64" s="43" t="s">
        <v>44</v>
      </c>
      <c r="I64" s="16" t="s">
        <v>168</v>
      </c>
      <c r="J64" s="17" t="s">
        <v>92</v>
      </c>
      <c r="K64" s="17">
        <v>2</v>
      </c>
      <c r="L64" s="18">
        <v>1708</v>
      </c>
      <c r="M64" s="30">
        <v>2136.75</v>
      </c>
      <c r="N64" s="31">
        <v>3777.46</v>
      </c>
      <c r="O64" s="32">
        <v>3416</v>
      </c>
      <c r="P64" s="32">
        <v>4273.5</v>
      </c>
      <c r="Q64" s="32">
        <v>7554.92</v>
      </c>
      <c r="R64" s="47">
        <v>10</v>
      </c>
      <c r="S64" s="21">
        <v>46172</v>
      </c>
      <c r="T64" s="33">
        <v>46182</v>
      </c>
      <c r="U64" s="34">
        <v>22</v>
      </c>
      <c r="V64" s="35">
        <v>24</v>
      </c>
      <c r="W64" s="33"/>
      <c r="X64" s="33"/>
      <c r="Y64" s="36">
        <v>52</v>
      </c>
      <c r="Z64" s="36">
        <v>52</v>
      </c>
      <c r="AA64" s="25">
        <v>0.3</v>
      </c>
      <c r="AB64" s="37">
        <v>0</v>
      </c>
      <c r="AC64" s="38">
        <v>-0.3</v>
      </c>
      <c r="AD64" s="39">
        <v>2266.4760000000001</v>
      </c>
      <c r="AE64" s="39">
        <v>0</v>
      </c>
      <c r="AF64" s="39">
        <v>2266.4760000000001</v>
      </c>
      <c r="AG64" s="29">
        <v>0</v>
      </c>
      <c r="AH64" s="29">
        <v>0</v>
      </c>
      <c r="AI64" s="69">
        <v>0</v>
      </c>
      <c r="AJ64" s="46">
        <v>0</v>
      </c>
    </row>
    <row r="65" spans="2:36">
      <c r="B65" s="62" t="s">
        <v>389</v>
      </c>
      <c r="C65" s="14" t="s">
        <v>204</v>
      </c>
      <c r="D65" s="16" t="s">
        <v>204</v>
      </c>
      <c r="E65" s="16" t="s">
        <v>45</v>
      </c>
      <c r="F65" s="16" t="s">
        <v>46</v>
      </c>
      <c r="G65" s="2" t="s">
        <v>265</v>
      </c>
      <c r="H65" s="43" t="s">
        <v>169</v>
      </c>
      <c r="I65" s="16" t="s">
        <v>170</v>
      </c>
      <c r="J65" s="17" t="s">
        <v>92</v>
      </c>
      <c r="K65" s="17">
        <v>1</v>
      </c>
      <c r="L65" s="18">
        <v>2395.9919999999997</v>
      </c>
      <c r="M65" s="30">
        <v>3348.0219999999999</v>
      </c>
      <c r="N65" s="31">
        <v>5803.11</v>
      </c>
      <c r="O65" s="32">
        <v>2395.9919999999997</v>
      </c>
      <c r="P65" s="32">
        <v>3348.0219999999999</v>
      </c>
      <c r="Q65" s="32">
        <v>5803.11</v>
      </c>
      <c r="R65" s="47">
        <v>10</v>
      </c>
      <c r="S65" s="21">
        <v>46174</v>
      </c>
      <c r="T65" s="33">
        <v>46184</v>
      </c>
      <c r="U65" s="34">
        <v>23</v>
      </c>
      <c r="V65" s="35">
        <v>24</v>
      </c>
      <c r="W65" s="33"/>
      <c r="X65" s="33"/>
      <c r="Y65" s="36">
        <v>52</v>
      </c>
      <c r="Z65" s="36">
        <v>52</v>
      </c>
      <c r="AA65" s="25">
        <v>0.1</v>
      </c>
      <c r="AB65" s="37">
        <v>0</v>
      </c>
      <c r="AC65" s="38">
        <v>-0.1</v>
      </c>
      <c r="AD65" s="39">
        <v>580.31100000000004</v>
      </c>
      <c r="AE65" s="39">
        <v>0</v>
      </c>
      <c r="AF65" s="39">
        <v>580.31100000000004</v>
      </c>
      <c r="AG65" s="29">
        <v>0</v>
      </c>
      <c r="AH65" s="29">
        <v>0</v>
      </c>
      <c r="AI65" s="69">
        <v>0</v>
      </c>
      <c r="AJ65" s="46">
        <v>0</v>
      </c>
    </row>
    <row r="66" spans="2:36">
      <c r="B66" s="62" t="s">
        <v>389</v>
      </c>
      <c r="C66" s="14" t="s">
        <v>204</v>
      </c>
      <c r="D66" s="16" t="s">
        <v>204</v>
      </c>
      <c r="E66" s="16" t="s">
        <v>45</v>
      </c>
      <c r="F66" s="16" t="s">
        <v>46</v>
      </c>
      <c r="G66" s="2" t="s">
        <v>266</v>
      </c>
      <c r="H66" s="43" t="s">
        <v>169</v>
      </c>
      <c r="I66" s="16" t="s">
        <v>171</v>
      </c>
      <c r="J66" s="17" t="s">
        <v>92</v>
      </c>
      <c r="K66" s="17">
        <v>2</v>
      </c>
      <c r="L66" s="18">
        <v>2395.9919999999997</v>
      </c>
      <c r="M66" s="30">
        <v>3348.0219999999999</v>
      </c>
      <c r="N66" s="31">
        <v>5803.11</v>
      </c>
      <c r="O66" s="32">
        <v>4791.9839999999995</v>
      </c>
      <c r="P66" s="32">
        <v>6696.0439999999999</v>
      </c>
      <c r="Q66" s="32">
        <v>11606.22</v>
      </c>
      <c r="R66" s="47">
        <v>7</v>
      </c>
      <c r="S66" s="21">
        <v>46176</v>
      </c>
      <c r="T66" s="33">
        <v>46183</v>
      </c>
      <c r="U66" s="34">
        <v>23</v>
      </c>
      <c r="V66" s="35">
        <v>24</v>
      </c>
      <c r="W66" s="33"/>
      <c r="X66" s="33"/>
      <c r="Y66" s="36">
        <v>52</v>
      </c>
      <c r="Z66" s="36">
        <v>52</v>
      </c>
      <c r="AA66" s="25">
        <v>0</v>
      </c>
      <c r="AB66" s="37">
        <v>0.5</v>
      </c>
      <c r="AC66" s="38">
        <v>0.5</v>
      </c>
      <c r="AD66" s="39">
        <v>0</v>
      </c>
      <c r="AE66" s="39">
        <v>5803.11</v>
      </c>
      <c r="AF66" s="39">
        <v>0</v>
      </c>
      <c r="AG66" s="29">
        <v>1</v>
      </c>
      <c r="AH66" s="29">
        <v>1</v>
      </c>
      <c r="AI66" s="69">
        <v>0.5</v>
      </c>
      <c r="AJ66" s="46">
        <v>5803.11</v>
      </c>
    </row>
    <row r="67" spans="2:36">
      <c r="B67" s="62" t="s">
        <v>389</v>
      </c>
      <c r="C67" s="14" t="s">
        <v>204</v>
      </c>
      <c r="D67" s="16" t="s">
        <v>204</v>
      </c>
      <c r="E67" s="16" t="s">
        <v>48</v>
      </c>
      <c r="F67" s="16" t="s">
        <v>51</v>
      </c>
      <c r="G67" s="2" t="s">
        <v>267</v>
      </c>
      <c r="H67" s="43" t="s">
        <v>172</v>
      </c>
      <c r="I67" s="16" t="s">
        <v>173</v>
      </c>
      <c r="J67" s="17" t="s">
        <v>84</v>
      </c>
      <c r="K67" s="17">
        <v>1</v>
      </c>
      <c r="L67" s="18">
        <v>24413.504000000001</v>
      </c>
      <c r="M67" s="30">
        <v>48106.134000000005</v>
      </c>
      <c r="N67" s="31">
        <v>80643.37</v>
      </c>
      <c r="O67" s="32">
        <v>24413.504000000001</v>
      </c>
      <c r="P67" s="32">
        <v>48106.134000000005</v>
      </c>
      <c r="Q67" s="32">
        <v>80643.37</v>
      </c>
      <c r="R67" s="47">
        <v>4</v>
      </c>
      <c r="S67" s="21">
        <v>46178</v>
      </c>
      <c r="T67" s="33">
        <v>46182</v>
      </c>
      <c r="U67" s="34">
        <v>23</v>
      </c>
      <c r="V67" s="35">
        <v>24</v>
      </c>
      <c r="W67" s="33"/>
      <c r="X67" s="33"/>
      <c r="Y67" s="36">
        <v>52</v>
      </c>
      <c r="Z67" s="36">
        <v>52</v>
      </c>
      <c r="AA67" s="25">
        <v>0</v>
      </c>
      <c r="AB67" s="37">
        <v>0</v>
      </c>
      <c r="AC67" s="38">
        <v>0</v>
      </c>
      <c r="AD67" s="39">
        <v>0</v>
      </c>
      <c r="AE67" s="39">
        <v>0</v>
      </c>
      <c r="AF67" s="39">
        <v>0</v>
      </c>
      <c r="AG67" s="29">
        <v>0</v>
      </c>
      <c r="AH67" s="29">
        <v>0</v>
      </c>
      <c r="AI67" s="69">
        <v>0</v>
      </c>
      <c r="AJ67" s="46">
        <v>0</v>
      </c>
    </row>
    <row r="68" spans="2:36">
      <c r="B68" s="62" t="s">
        <v>389</v>
      </c>
      <c r="C68" s="14" t="s">
        <v>204</v>
      </c>
      <c r="D68" s="16" t="s">
        <v>204</v>
      </c>
      <c r="E68" s="16" t="s">
        <v>48</v>
      </c>
      <c r="F68" s="16" t="s">
        <v>51</v>
      </c>
      <c r="G68" s="2" t="s">
        <v>268</v>
      </c>
      <c r="H68" s="43" t="s">
        <v>174</v>
      </c>
      <c r="I68" s="16" t="s">
        <v>175</v>
      </c>
      <c r="J68" s="17" t="s">
        <v>84</v>
      </c>
      <c r="K68" s="17">
        <v>1</v>
      </c>
      <c r="L68" s="18">
        <v>31254.264000000003</v>
      </c>
      <c r="M68" s="30">
        <v>74026.124000000011</v>
      </c>
      <c r="N68" s="31">
        <v>122632.96000000001</v>
      </c>
      <c r="O68" s="32">
        <v>31254.264000000003</v>
      </c>
      <c r="P68" s="32">
        <v>74026.124000000011</v>
      </c>
      <c r="Q68" s="32">
        <v>122632.96000000001</v>
      </c>
      <c r="R68" s="47">
        <v>3</v>
      </c>
      <c r="S68" s="21">
        <v>46181</v>
      </c>
      <c r="T68" s="33">
        <v>46184</v>
      </c>
      <c r="U68" s="34">
        <v>24</v>
      </c>
      <c r="V68" s="35">
        <v>24</v>
      </c>
      <c r="W68" s="33"/>
      <c r="X68" s="33"/>
      <c r="Y68" s="36">
        <v>52</v>
      </c>
      <c r="Z68" s="36">
        <v>52</v>
      </c>
      <c r="AA68" s="25">
        <v>0</v>
      </c>
      <c r="AB68" s="37">
        <v>1</v>
      </c>
      <c r="AC68" s="38">
        <v>1</v>
      </c>
      <c r="AD68" s="39">
        <v>0</v>
      </c>
      <c r="AE68" s="39">
        <v>122632.96000000001</v>
      </c>
      <c r="AF68" s="39">
        <v>0</v>
      </c>
      <c r="AG68" s="29">
        <v>1</v>
      </c>
      <c r="AH68" s="29">
        <v>1</v>
      </c>
      <c r="AI68" s="69">
        <v>1</v>
      </c>
      <c r="AJ68" s="46">
        <v>122632.96000000001</v>
      </c>
    </row>
    <row r="69" spans="2:36">
      <c r="B69" s="62" t="s">
        <v>389</v>
      </c>
      <c r="C69" s="14" t="s">
        <v>205</v>
      </c>
      <c r="D69" s="16" t="s">
        <v>205</v>
      </c>
      <c r="E69" s="16" t="s">
        <v>53</v>
      </c>
      <c r="F69" s="16" t="s">
        <v>55</v>
      </c>
      <c r="G69" s="2" t="s">
        <v>269</v>
      </c>
      <c r="H69" s="43" t="s">
        <v>62</v>
      </c>
      <c r="I69" s="16" t="s">
        <v>78</v>
      </c>
      <c r="J69" s="17" t="s">
        <v>79</v>
      </c>
      <c r="K69" s="17">
        <v>15</v>
      </c>
      <c r="L69" s="18">
        <v>30.408000000000001</v>
      </c>
      <c r="M69" s="30">
        <v>93.408000000000001</v>
      </c>
      <c r="N69" s="31">
        <v>146.83000000000001</v>
      </c>
      <c r="O69" s="32">
        <v>456.12</v>
      </c>
      <c r="P69" s="32">
        <v>1401.1200000000001</v>
      </c>
      <c r="Q69" s="32">
        <v>2202.4500000000003</v>
      </c>
      <c r="R69" s="47">
        <v>2</v>
      </c>
      <c r="S69" s="21">
        <v>46183</v>
      </c>
      <c r="T69" s="33">
        <v>46185</v>
      </c>
      <c r="U69" s="34">
        <v>24</v>
      </c>
      <c r="V69" s="35">
        <v>24</v>
      </c>
      <c r="W69" s="33"/>
      <c r="X69" s="33"/>
      <c r="Y69" s="36">
        <v>52</v>
      </c>
      <c r="Z69" s="36">
        <v>52</v>
      </c>
      <c r="AA69" s="25">
        <v>0</v>
      </c>
      <c r="AB69" s="37">
        <v>0.4</v>
      </c>
      <c r="AC69" s="38">
        <v>0.4</v>
      </c>
      <c r="AD69" s="39">
        <v>0</v>
      </c>
      <c r="AE69" s="39">
        <v>880.98000000000013</v>
      </c>
      <c r="AF69" s="39">
        <v>0</v>
      </c>
      <c r="AG69" s="29">
        <v>6</v>
      </c>
      <c r="AH69" s="29">
        <v>6</v>
      </c>
      <c r="AI69" s="69">
        <v>0.4</v>
      </c>
      <c r="AJ69" s="46">
        <v>880.98</v>
      </c>
    </row>
    <row r="70" spans="2:36">
      <c r="B70" s="62" t="s">
        <v>389</v>
      </c>
      <c r="C70" s="14" t="s">
        <v>205</v>
      </c>
      <c r="D70" s="16" t="s">
        <v>205</v>
      </c>
      <c r="E70" s="16" t="s">
        <v>53</v>
      </c>
      <c r="F70" s="16" t="s">
        <v>55</v>
      </c>
      <c r="G70" s="2" t="s">
        <v>270</v>
      </c>
      <c r="H70" s="43" t="s">
        <v>60</v>
      </c>
      <c r="I70" s="16" t="s">
        <v>80</v>
      </c>
      <c r="J70" s="17" t="s">
        <v>79</v>
      </c>
      <c r="K70" s="17">
        <v>66</v>
      </c>
      <c r="L70" s="18">
        <v>30.408000000000001</v>
      </c>
      <c r="M70" s="30">
        <v>107.27800000000001</v>
      </c>
      <c r="N70" s="31">
        <v>166.76</v>
      </c>
      <c r="O70" s="32">
        <v>2006.9280000000001</v>
      </c>
      <c r="P70" s="32">
        <v>7080.348</v>
      </c>
      <c r="Q70" s="32">
        <v>11006.16</v>
      </c>
      <c r="R70" s="47">
        <v>3</v>
      </c>
      <c r="S70" s="21">
        <v>46184</v>
      </c>
      <c r="T70" s="33">
        <v>46187</v>
      </c>
      <c r="U70" s="34">
        <v>24</v>
      </c>
      <c r="V70" s="35">
        <v>24</v>
      </c>
      <c r="W70" s="33"/>
      <c r="X70" s="33"/>
      <c r="Y70" s="36">
        <v>52</v>
      </c>
      <c r="Z70" s="36">
        <v>52</v>
      </c>
      <c r="AA70" s="25">
        <v>0</v>
      </c>
      <c r="AB70" s="37">
        <v>0.95454545454545459</v>
      </c>
      <c r="AC70" s="38">
        <v>0.95454545454545459</v>
      </c>
      <c r="AD70" s="39">
        <v>0</v>
      </c>
      <c r="AE70" s="39">
        <v>10505.880000000001</v>
      </c>
      <c r="AF70" s="39">
        <v>0</v>
      </c>
      <c r="AG70" s="29">
        <v>63</v>
      </c>
      <c r="AH70" s="29">
        <v>63</v>
      </c>
      <c r="AI70" s="69">
        <v>0.95454545454545459</v>
      </c>
      <c r="AJ70" s="46">
        <v>10505.88</v>
      </c>
    </row>
    <row r="71" spans="2:36">
      <c r="B71" s="62" t="s">
        <v>389</v>
      </c>
      <c r="C71" s="14" t="s">
        <v>205</v>
      </c>
      <c r="D71" s="16" t="s">
        <v>205</v>
      </c>
      <c r="E71" s="16" t="s">
        <v>53</v>
      </c>
      <c r="F71" s="16" t="s">
        <v>55</v>
      </c>
      <c r="G71" s="2" t="s">
        <v>271</v>
      </c>
      <c r="H71" s="43" t="s">
        <v>61</v>
      </c>
      <c r="I71" s="16" t="s">
        <v>81</v>
      </c>
      <c r="J71" s="17" t="s">
        <v>79</v>
      </c>
      <c r="K71" s="17">
        <v>33</v>
      </c>
      <c r="L71" s="18">
        <v>30.408000000000001</v>
      </c>
      <c r="M71" s="30">
        <v>114.318</v>
      </c>
      <c r="N71" s="31">
        <v>176.88</v>
      </c>
      <c r="O71" s="32">
        <v>1003.4640000000001</v>
      </c>
      <c r="P71" s="32">
        <v>3772.4940000000001</v>
      </c>
      <c r="Q71" s="32">
        <v>5837.04</v>
      </c>
      <c r="R71" s="47">
        <v>3</v>
      </c>
      <c r="S71" s="21">
        <v>46186</v>
      </c>
      <c r="T71" s="33">
        <v>46189</v>
      </c>
      <c r="U71" s="34">
        <v>24</v>
      </c>
      <c r="V71" s="35">
        <v>25</v>
      </c>
      <c r="W71" s="33"/>
      <c r="X71" s="33"/>
      <c r="Y71" s="36">
        <v>52</v>
      </c>
      <c r="Z71" s="36">
        <v>52</v>
      </c>
      <c r="AA71" s="25">
        <v>0</v>
      </c>
      <c r="AB71" s="37">
        <v>0.69696969696969702</v>
      </c>
      <c r="AC71" s="38">
        <v>0.69696969696969702</v>
      </c>
      <c r="AD71" s="39">
        <v>0</v>
      </c>
      <c r="AE71" s="39">
        <v>4068.2400000000002</v>
      </c>
      <c r="AF71" s="39">
        <v>0</v>
      </c>
      <c r="AG71" s="29">
        <v>23</v>
      </c>
      <c r="AH71" s="29">
        <v>23</v>
      </c>
      <c r="AI71" s="69">
        <v>0.69696969696969702</v>
      </c>
      <c r="AJ71" s="46">
        <v>4068.24</v>
      </c>
    </row>
    <row r="72" spans="2:36">
      <c r="B72" s="62" t="s">
        <v>389</v>
      </c>
      <c r="C72" s="14" t="s">
        <v>205</v>
      </c>
      <c r="D72" s="16" t="s">
        <v>205</v>
      </c>
      <c r="E72" s="16" t="s">
        <v>58</v>
      </c>
      <c r="F72" s="16" t="s">
        <v>208</v>
      </c>
      <c r="G72" s="2" t="s">
        <v>272</v>
      </c>
      <c r="H72" s="43" t="s">
        <v>176</v>
      </c>
      <c r="I72" s="16" t="s">
        <v>83</v>
      </c>
      <c r="J72" s="17" t="s">
        <v>84</v>
      </c>
      <c r="K72" s="17">
        <v>1</v>
      </c>
      <c r="L72" s="18">
        <v>12718.392</v>
      </c>
      <c r="M72" s="30">
        <v>13195.332</v>
      </c>
      <c r="N72" s="31">
        <v>24224.58</v>
      </c>
      <c r="O72" s="32">
        <v>12718.392</v>
      </c>
      <c r="P72" s="32">
        <v>13195.332</v>
      </c>
      <c r="Q72" s="32">
        <v>24224.58</v>
      </c>
      <c r="R72" s="47">
        <v>8</v>
      </c>
      <c r="S72" s="21">
        <v>46188</v>
      </c>
      <c r="T72" s="33">
        <v>46196</v>
      </c>
      <c r="U72" s="34">
        <v>25</v>
      </c>
      <c r="V72" s="35">
        <v>26</v>
      </c>
      <c r="W72" s="33"/>
      <c r="X72" s="33"/>
      <c r="Y72" s="36">
        <v>52</v>
      </c>
      <c r="Z72" s="36">
        <v>52</v>
      </c>
      <c r="AA72" s="25">
        <v>0</v>
      </c>
      <c r="AB72" s="37">
        <v>1</v>
      </c>
      <c r="AC72" s="38">
        <v>1</v>
      </c>
      <c r="AD72" s="39">
        <v>0</v>
      </c>
      <c r="AE72" s="39">
        <v>24224.58</v>
      </c>
      <c r="AF72" s="39">
        <v>0</v>
      </c>
      <c r="AG72" s="29">
        <v>1</v>
      </c>
      <c r="AH72" s="29">
        <v>1</v>
      </c>
      <c r="AI72" s="69">
        <v>1</v>
      </c>
      <c r="AJ72" s="46">
        <v>24224.58</v>
      </c>
    </row>
    <row r="73" spans="2:36">
      <c r="B73" s="62" t="s">
        <v>389</v>
      </c>
      <c r="C73" s="14" t="s">
        <v>205</v>
      </c>
      <c r="D73" s="16" t="s">
        <v>205</v>
      </c>
      <c r="E73" s="16" t="s">
        <v>53</v>
      </c>
      <c r="F73" s="16" t="s">
        <v>56</v>
      </c>
      <c r="G73" s="2" t="s">
        <v>273</v>
      </c>
      <c r="H73" s="43" t="s">
        <v>177</v>
      </c>
      <c r="I73" s="16" t="s">
        <v>86</v>
      </c>
      <c r="J73" s="17" t="s">
        <v>84</v>
      </c>
      <c r="K73" s="17">
        <v>1</v>
      </c>
      <c r="L73" s="18">
        <v>0</v>
      </c>
      <c r="M73" s="30">
        <v>28</v>
      </c>
      <c r="N73" s="31">
        <v>40.25</v>
      </c>
      <c r="O73" s="32">
        <v>0</v>
      </c>
      <c r="P73" s="32">
        <v>28</v>
      </c>
      <c r="Q73" s="32">
        <v>40.25</v>
      </c>
      <c r="R73" s="47">
        <v>4</v>
      </c>
      <c r="S73" s="21">
        <v>46190</v>
      </c>
      <c r="T73" s="33">
        <v>46194</v>
      </c>
      <c r="U73" s="34">
        <v>25</v>
      </c>
      <c r="V73" s="35">
        <v>25</v>
      </c>
      <c r="W73" s="33"/>
      <c r="X73" s="33"/>
      <c r="Y73" s="36">
        <v>52</v>
      </c>
      <c r="Z73" s="36">
        <v>52</v>
      </c>
      <c r="AA73" s="25">
        <v>0</v>
      </c>
      <c r="AB73" s="37">
        <v>0</v>
      </c>
      <c r="AC73" s="38">
        <v>0</v>
      </c>
      <c r="AD73" s="39">
        <v>0</v>
      </c>
      <c r="AE73" s="39">
        <v>0</v>
      </c>
      <c r="AF73" s="39">
        <v>0</v>
      </c>
      <c r="AG73" s="29">
        <v>0</v>
      </c>
      <c r="AH73" s="29">
        <v>0</v>
      </c>
      <c r="AI73" s="69">
        <v>0</v>
      </c>
      <c r="AJ73" s="46">
        <v>0</v>
      </c>
    </row>
    <row r="74" spans="2:36">
      <c r="B74" s="62" t="s">
        <v>389</v>
      </c>
      <c r="C74" s="14" t="s">
        <v>205</v>
      </c>
      <c r="D74" s="16" t="s">
        <v>205</v>
      </c>
      <c r="E74" s="16" t="s">
        <v>53</v>
      </c>
      <c r="F74" s="16" t="s">
        <v>54</v>
      </c>
      <c r="G74" s="2" t="s">
        <v>274</v>
      </c>
      <c r="H74" s="43" t="s">
        <v>178</v>
      </c>
      <c r="I74" s="16" t="s">
        <v>88</v>
      </c>
      <c r="J74" s="17" t="s">
        <v>59</v>
      </c>
      <c r="K74" s="17">
        <v>762.45</v>
      </c>
      <c r="L74" s="18">
        <v>213.24</v>
      </c>
      <c r="M74" s="30">
        <v>569.37390600000003</v>
      </c>
      <c r="N74" s="31">
        <v>851.07297300000005</v>
      </c>
      <c r="O74" s="32">
        <v>162584.83800000002</v>
      </c>
      <c r="P74" s="32">
        <v>434119.13462970004</v>
      </c>
      <c r="Q74" s="32">
        <v>648900.58826385008</v>
      </c>
      <c r="R74" s="47">
        <v>2</v>
      </c>
      <c r="S74" s="21">
        <v>46193</v>
      </c>
      <c r="T74" s="33">
        <v>46195</v>
      </c>
      <c r="U74" s="34">
        <v>25</v>
      </c>
      <c r="V74" s="35">
        <v>26</v>
      </c>
      <c r="W74" s="33"/>
      <c r="X74" s="33"/>
      <c r="Y74" s="36">
        <v>52</v>
      </c>
      <c r="Z74" s="36">
        <v>52</v>
      </c>
      <c r="AA74" s="25">
        <v>0</v>
      </c>
      <c r="AB74" s="37">
        <v>0.94563577939537014</v>
      </c>
      <c r="AC74" s="38">
        <v>0.94563577939537014</v>
      </c>
      <c r="AD74" s="39">
        <v>0</v>
      </c>
      <c r="AE74" s="39">
        <v>613623.613533</v>
      </c>
      <c r="AF74" s="39">
        <v>0</v>
      </c>
      <c r="AG74" s="29">
        <v>721</v>
      </c>
      <c r="AH74" s="29">
        <v>721</v>
      </c>
      <c r="AI74" s="69">
        <v>0.94563577939537014</v>
      </c>
      <c r="AJ74" s="46">
        <v>613623.613533</v>
      </c>
    </row>
    <row r="75" spans="2:36">
      <c r="B75" s="62" t="s">
        <v>389</v>
      </c>
      <c r="C75" s="14" t="s">
        <v>205</v>
      </c>
      <c r="D75" s="16" t="s">
        <v>205</v>
      </c>
      <c r="E75" s="16" t="s">
        <v>53</v>
      </c>
      <c r="F75" s="16" t="s">
        <v>55</v>
      </c>
      <c r="G75" s="2" t="s">
        <v>275</v>
      </c>
      <c r="H75" s="43" t="s">
        <v>179</v>
      </c>
      <c r="I75" s="16" t="s">
        <v>90</v>
      </c>
      <c r="J75" s="17" t="s">
        <v>84</v>
      </c>
      <c r="K75" s="17">
        <v>1</v>
      </c>
      <c r="L75" s="18">
        <v>0</v>
      </c>
      <c r="M75" s="30">
        <v>38884.949999999997</v>
      </c>
      <c r="N75" s="31">
        <v>55897.120000000003</v>
      </c>
      <c r="O75" s="32">
        <v>0</v>
      </c>
      <c r="P75" s="32">
        <v>38884.949999999997</v>
      </c>
      <c r="Q75" s="32">
        <v>55897.120000000003</v>
      </c>
      <c r="R75" s="47">
        <v>4</v>
      </c>
      <c r="S75" s="21">
        <v>46194</v>
      </c>
      <c r="T75" s="33">
        <v>46198</v>
      </c>
      <c r="U75" s="34">
        <v>25</v>
      </c>
      <c r="V75" s="35">
        <v>26</v>
      </c>
      <c r="W75" s="33"/>
      <c r="X75" s="33"/>
      <c r="Y75" s="36">
        <v>52</v>
      </c>
      <c r="Z75" s="36">
        <v>52</v>
      </c>
      <c r="AA75" s="25">
        <v>0</v>
      </c>
      <c r="AB75" s="37">
        <v>0</v>
      </c>
      <c r="AC75" s="38">
        <v>0</v>
      </c>
      <c r="AD75" s="39">
        <v>0</v>
      </c>
      <c r="AE75" s="39">
        <v>0</v>
      </c>
      <c r="AF75" s="39">
        <v>0</v>
      </c>
      <c r="AG75" s="29">
        <v>0</v>
      </c>
      <c r="AH75" s="29">
        <v>0</v>
      </c>
      <c r="AI75" s="69">
        <v>0</v>
      </c>
      <c r="AJ75" s="46">
        <v>0</v>
      </c>
    </row>
    <row r="76" spans="2:36">
      <c r="B76" s="62" t="s">
        <v>389</v>
      </c>
      <c r="C76" s="14" t="s">
        <v>205</v>
      </c>
      <c r="D76" s="16" t="s">
        <v>205</v>
      </c>
      <c r="E76" s="16" t="s">
        <v>53</v>
      </c>
      <c r="F76" s="16" t="s">
        <v>56</v>
      </c>
      <c r="G76" s="2" t="s">
        <v>276</v>
      </c>
      <c r="H76" s="43" t="s">
        <v>65</v>
      </c>
      <c r="I76" s="16" t="s">
        <v>91</v>
      </c>
      <c r="J76" s="17" t="s">
        <v>92</v>
      </c>
      <c r="K76" s="17">
        <v>4</v>
      </c>
      <c r="L76" s="18">
        <v>256</v>
      </c>
      <c r="M76" s="30">
        <v>1256</v>
      </c>
      <c r="N76" s="31">
        <v>1911.3</v>
      </c>
      <c r="O76" s="32">
        <v>1024</v>
      </c>
      <c r="P76" s="32">
        <v>5024</v>
      </c>
      <c r="Q76" s="32">
        <v>7645.2</v>
      </c>
      <c r="R76" s="47">
        <v>8</v>
      </c>
      <c r="S76" s="21">
        <v>46195</v>
      </c>
      <c r="T76" s="33">
        <v>46203</v>
      </c>
      <c r="U76" s="34">
        <v>26</v>
      </c>
      <c r="V76" s="35">
        <v>27</v>
      </c>
      <c r="W76" s="33"/>
      <c r="X76" s="33"/>
      <c r="Y76" s="36">
        <v>52</v>
      </c>
      <c r="Z76" s="36">
        <v>52</v>
      </c>
      <c r="AA76" s="25">
        <v>0</v>
      </c>
      <c r="AB76" s="37">
        <v>1</v>
      </c>
      <c r="AC76" s="38">
        <v>1</v>
      </c>
      <c r="AD76" s="39">
        <v>0</v>
      </c>
      <c r="AE76" s="39">
        <v>7645.2</v>
      </c>
      <c r="AF76" s="39">
        <v>0</v>
      </c>
      <c r="AG76" s="29">
        <v>4</v>
      </c>
      <c r="AH76" s="29">
        <v>4</v>
      </c>
      <c r="AI76" s="69">
        <v>1</v>
      </c>
      <c r="AJ76" s="46">
        <v>7645.2</v>
      </c>
    </row>
    <row r="77" spans="2:36">
      <c r="B77" s="62" t="s">
        <v>389</v>
      </c>
      <c r="C77" s="14" t="s">
        <v>205</v>
      </c>
      <c r="D77" s="16" t="s">
        <v>205</v>
      </c>
      <c r="E77" s="16" t="s">
        <v>53</v>
      </c>
      <c r="F77" s="16" t="s">
        <v>56</v>
      </c>
      <c r="G77" s="2" t="s">
        <v>277</v>
      </c>
      <c r="H77" s="43" t="s">
        <v>64</v>
      </c>
      <c r="I77" s="16" t="s">
        <v>93</v>
      </c>
      <c r="J77" s="17" t="s">
        <v>92</v>
      </c>
      <c r="K77" s="17">
        <v>11</v>
      </c>
      <c r="L77" s="18">
        <v>256</v>
      </c>
      <c r="M77" s="30">
        <v>1256</v>
      </c>
      <c r="N77" s="31">
        <v>1911.3</v>
      </c>
      <c r="O77" s="32">
        <v>2816</v>
      </c>
      <c r="P77" s="32">
        <v>13816</v>
      </c>
      <c r="Q77" s="32">
        <v>21024.3</v>
      </c>
      <c r="R77" s="47">
        <v>2</v>
      </c>
      <c r="S77" s="21">
        <v>46197</v>
      </c>
      <c r="T77" s="33">
        <v>46199</v>
      </c>
      <c r="U77" s="34">
        <v>26</v>
      </c>
      <c r="V77" s="35">
        <v>26</v>
      </c>
      <c r="W77" s="33"/>
      <c r="X77" s="33"/>
      <c r="Y77" s="36">
        <v>52</v>
      </c>
      <c r="Z77" s="36">
        <v>52</v>
      </c>
      <c r="AA77" s="25">
        <v>0</v>
      </c>
      <c r="AB77" s="37">
        <v>0.72727272727272729</v>
      </c>
      <c r="AC77" s="38">
        <v>0.72727272727272729</v>
      </c>
      <c r="AD77" s="39">
        <v>0</v>
      </c>
      <c r="AE77" s="39">
        <v>15290.4</v>
      </c>
      <c r="AF77" s="39">
        <v>0</v>
      </c>
      <c r="AG77" s="29">
        <v>8</v>
      </c>
      <c r="AH77" s="29">
        <v>8</v>
      </c>
      <c r="AI77" s="69">
        <v>0.72727272727272729</v>
      </c>
      <c r="AJ77" s="46">
        <v>15290.4</v>
      </c>
    </row>
    <row r="78" spans="2:36">
      <c r="B78" s="62" t="s">
        <v>389</v>
      </c>
      <c r="C78" s="14" t="s">
        <v>205</v>
      </c>
      <c r="D78" s="16" t="s">
        <v>205</v>
      </c>
      <c r="E78" s="16" t="s">
        <v>53</v>
      </c>
      <c r="F78" s="16" t="s">
        <v>56</v>
      </c>
      <c r="G78" s="2" t="s">
        <v>278</v>
      </c>
      <c r="H78" s="43" t="s">
        <v>67</v>
      </c>
      <c r="I78" s="16" t="s">
        <v>94</v>
      </c>
      <c r="J78" s="17" t="s">
        <v>92</v>
      </c>
      <c r="K78" s="17">
        <v>2</v>
      </c>
      <c r="L78" s="18">
        <v>256</v>
      </c>
      <c r="M78" s="30">
        <v>1256</v>
      </c>
      <c r="N78" s="31">
        <v>1911.3</v>
      </c>
      <c r="O78" s="32">
        <v>512</v>
      </c>
      <c r="P78" s="32">
        <v>2512</v>
      </c>
      <c r="Q78" s="32">
        <v>3822.6</v>
      </c>
      <c r="R78" s="47">
        <v>10</v>
      </c>
      <c r="S78" s="21">
        <v>46198</v>
      </c>
      <c r="T78" s="33">
        <v>46208</v>
      </c>
      <c r="U78" s="34">
        <v>26</v>
      </c>
      <c r="V78" s="35">
        <v>27</v>
      </c>
      <c r="W78" s="33">
        <v>46198</v>
      </c>
      <c r="X78" s="33">
        <v>46208</v>
      </c>
      <c r="Y78" s="36">
        <v>26</v>
      </c>
      <c r="Z78" s="36">
        <v>27</v>
      </c>
      <c r="AA78" s="25">
        <v>0</v>
      </c>
      <c r="AB78" s="37">
        <v>0</v>
      </c>
      <c r="AC78" s="38">
        <v>0</v>
      </c>
      <c r="AD78" s="39">
        <v>0</v>
      </c>
      <c r="AE78" s="39">
        <v>0</v>
      </c>
      <c r="AF78" s="39">
        <v>0</v>
      </c>
      <c r="AG78" s="29">
        <v>0</v>
      </c>
      <c r="AH78" s="29">
        <v>0</v>
      </c>
      <c r="AI78" s="69">
        <v>0</v>
      </c>
      <c r="AJ78" s="46">
        <v>0</v>
      </c>
    </row>
    <row r="79" spans="2:36">
      <c r="B79" s="62" t="s">
        <v>389</v>
      </c>
      <c r="C79" s="14" t="s">
        <v>205</v>
      </c>
      <c r="D79" s="16" t="s">
        <v>205</v>
      </c>
      <c r="E79" s="16" t="s">
        <v>53</v>
      </c>
      <c r="F79" s="16" t="s">
        <v>56</v>
      </c>
      <c r="G79" s="2" t="s">
        <v>279</v>
      </c>
      <c r="H79" s="43" t="s">
        <v>65</v>
      </c>
      <c r="I79" s="16" t="s">
        <v>95</v>
      </c>
      <c r="J79" s="17" t="s">
        <v>92</v>
      </c>
      <c r="K79" s="17">
        <v>5</v>
      </c>
      <c r="L79" s="18">
        <v>256</v>
      </c>
      <c r="M79" s="30">
        <v>1256</v>
      </c>
      <c r="N79" s="31">
        <v>1911.3</v>
      </c>
      <c r="O79" s="32">
        <v>1280</v>
      </c>
      <c r="P79" s="32">
        <v>6280</v>
      </c>
      <c r="Q79" s="32">
        <v>9556.5</v>
      </c>
      <c r="R79" s="47">
        <v>3</v>
      </c>
      <c r="S79" s="21">
        <v>46201</v>
      </c>
      <c r="T79" s="33">
        <v>46204</v>
      </c>
      <c r="U79" s="34">
        <v>26</v>
      </c>
      <c r="V79" s="35">
        <v>27</v>
      </c>
      <c r="W79" s="33">
        <v>46201</v>
      </c>
      <c r="X79" s="33">
        <v>46204</v>
      </c>
      <c r="Y79" s="36">
        <v>26</v>
      </c>
      <c r="Z79" s="36">
        <v>27</v>
      </c>
      <c r="AA79" s="25">
        <v>0</v>
      </c>
      <c r="AB79" s="37">
        <v>1</v>
      </c>
      <c r="AC79" s="38">
        <v>1</v>
      </c>
      <c r="AD79" s="39">
        <v>0</v>
      </c>
      <c r="AE79" s="39">
        <v>9556.5</v>
      </c>
      <c r="AF79" s="39">
        <v>0</v>
      </c>
      <c r="AG79" s="29">
        <v>5</v>
      </c>
      <c r="AH79" s="29">
        <v>5</v>
      </c>
      <c r="AI79" s="69">
        <v>1</v>
      </c>
      <c r="AJ79" s="46">
        <v>9556.5</v>
      </c>
    </row>
    <row r="80" spans="2:36">
      <c r="B80" s="62" t="s">
        <v>389</v>
      </c>
      <c r="C80" s="14" t="s">
        <v>205</v>
      </c>
      <c r="D80" s="16" t="s">
        <v>205</v>
      </c>
      <c r="E80" s="16" t="s">
        <v>53</v>
      </c>
      <c r="F80" s="16" t="s">
        <v>56</v>
      </c>
      <c r="G80" s="2" t="s">
        <v>280</v>
      </c>
      <c r="H80" s="43" t="s">
        <v>64</v>
      </c>
      <c r="I80" s="16" t="s">
        <v>96</v>
      </c>
      <c r="J80" s="17" t="s">
        <v>92</v>
      </c>
      <c r="K80" s="17">
        <v>9</v>
      </c>
      <c r="L80" s="18">
        <v>256</v>
      </c>
      <c r="M80" s="30">
        <v>1256</v>
      </c>
      <c r="N80" s="31">
        <v>1911.3</v>
      </c>
      <c r="O80" s="32">
        <v>2304</v>
      </c>
      <c r="P80" s="32">
        <v>11304</v>
      </c>
      <c r="Q80" s="32">
        <v>17201.7</v>
      </c>
      <c r="R80" s="47">
        <v>6</v>
      </c>
      <c r="S80" s="21">
        <v>46204</v>
      </c>
      <c r="T80" s="33">
        <v>46210</v>
      </c>
      <c r="U80" s="34">
        <v>27</v>
      </c>
      <c r="V80" s="35">
        <v>28</v>
      </c>
      <c r="W80" s="33">
        <v>46206</v>
      </c>
      <c r="X80" s="33">
        <v>46212</v>
      </c>
      <c r="Y80" s="36">
        <v>27</v>
      </c>
      <c r="Z80" s="36">
        <v>28</v>
      </c>
      <c r="AA80" s="25">
        <v>0</v>
      </c>
      <c r="AB80" s="37">
        <v>0.33333333333333331</v>
      </c>
      <c r="AC80" s="38">
        <v>0.33333333333333331</v>
      </c>
      <c r="AD80" s="39">
        <v>0</v>
      </c>
      <c r="AE80" s="39">
        <v>5733.9</v>
      </c>
      <c r="AF80" s="39">
        <v>0</v>
      </c>
      <c r="AG80" s="29">
        <v>3</v>
      </c>
      <c r="AH80" s="29">
        <v>3</v>
      </c>
      <c r="AI80" s="69">
        <v>0.33333333333333331</v>
      </c>
      <c r="AJ80" s="46">
        <v>5733.9</v>
      </c>
    </row>
    <row r="81" spans="2:36">
      <c r="B81" s="62" t="s">
        <v>389</v>
      </c>
      <c r="C81" s="14" t="s">
        <v>205</v>
      </c>
      <c r="D81" s="16" t="s">
        <v>205</v>
      </c>
      <c r="E81" s="16" t="s">
        <v>53</v>
      </c>
      <c r="F81" s="16" t="s">
        <v>56</v>
      </c>
      <c r="G81" s="2" t="s">
        <v>281</v>
      </c>
      <c r="H81" s="43" t="s">
        <v>71</v>
      </c>
      <c r="I81" s="16" t="s">
        <v>97</v>
      </c>
      <c r="J81" s="17" t="s">
        <v>92</v>
      </c>
      <c r="K81" s="17">
        <v>14</v>
      </c>
      <c r="L81" s="18">
        <v>212</v>
      </c>
      <c r="M81" s="30">
        <v>344.74</v>
      </c>
      <c r="N81" s="31">
        <v>583.17999999999995</v>
      </c>
      <c r="O81" s="32">
        <v>2968</v>
      </c>
      <c r="P81" s="32">
        <v>4826.3600000000006</v>
      </c>
      <c r="Q81" s="32">
        <v>8164.5199999999995</v>
      </c>
      <c r="R81" s="47">
        <v>4</v>
      </c>
      <c r="S81" s="21">
        <v>46205</v>
      </c>
      <c r="T81" s="33">
        <v>46209</v>
      </c>
      <c r="U81" s="34">
        <v>27</v>
      </c>
      <c r="V81" s="35">
        <v>28</v>
      </c>
      <c r="W81" s="33">
        <v>46206</v>
      </c>
      <c r="X81" s="33">
        <v>46211</v>
      </c>
      <c r="Y81" s="36">
        <v>27</v>
      </c>
      <c r="Z81" s="36">
        <v>28</v>
      </c>
      <c r="AA81" s="25">
        <v>0</v>
      </c>
      <c r="AB81" s="37">
        <v>0.2857142857142857</v>
      </c>
      <c r="AC81" s="38">
        <v>0.2857142857142857</v>
      </c>
      <c r="AD81" s="39">
        <v>0</v>
      </c>
      <c r="AE81" s="39">
        <v>2332.7199999999998</v>
      </c>
      <c r="AF81" s="39">
        <v>0</v>
      </c>
      <c r="AG81" s="29">
        <v>4</v>
      </c>
      <c r="AH81" s="29">
        <v>4</v>
      </c>
      <c r="AI81" s="69">
        <v>0.2857142857142857</v>
      </c>
      <c r="AJ81" s="46">
        <v>2332.7199999999998</v>
      </c>
    </row>
    <row r="82" spans="2:36">
      <c r="B82" s="62" t="s">
        <v>389</v>
      </c>
      <c r="C82" s="14" t="s">
        <v>205</v>
      </c>
      <c r="D82" s="16" t="s">
        <v>205</v>
      </c>
      <c r="E82" s="16" t="s">
        <v>53</v>
      </c>
      <c r="F82" s="16" t="s">
        <v>56</v>
      </c>
      <c r="G82" s="2" t="s">
        <v>282</v>
      </c>
      <c r="H82" s="43" t="s">
        <v>98</v>
      </c>
      <c r="I82" s="16" t="s">
        <v>99</v>
      </c>
      <c r="J82" s="17" t="s">
        <v>92</v>
      </c>
      <c r="K82" s="17">
        <v>1</v>
      </c>
      <c r="L82" s="18">
        <v>529.93600000000004</v>
      </c>
      <c r="M82" s="30">
        <v>3443.0860000000002</v>
      </c>
      <c r="N82" s="31">
        <v>5168.45</v>
      </c>
      <c r="O82" s="32">
        <v>529.93600000000004</v>
      </c>
      <c r="P82" s="32">
        <v>3443.0860000000002</v>
      </c>
      <c r="Q82" s="32">
        <v>5168.45</v>
      </c>
      <c r="R82" s="47">
        <v>4</v>
      </c>
      <c r="S82" s="21">
        <v>46206</v>
      </c>
      <c r="T82" s="33">
        <v>46210</v>
      </c>
      <c r="U82" s="34">
        <v>27</v>
      </c>
      <c r="V82" s="35">
        <v>28</v>
      </c>
      <c r="W82" s="33">
        <v>46207</v>
      </c>
      <c r="X82" s="33">
        <v>46212</v>
      </c>
      <c r="Y82" s="36">
        <v>27</v>
      </c>
      <c r="Z82" s="36">
        <v>28</v>
      </c>
      <c r="AA82" s="25">
        <v>0</v>
      </c>
      <c r="AB82" s="37">
        <v>1</v>
      </c>
      <c r="AC82" s="38">
        <v>1</v>
      </c>
      <c r="AD82" s="39">
        <v>0</v>
      </c>
      <c r="AE82" s="39">
        <v>5168.45</v>
      </c>
      <c r="AF82" s="39">
        <v>0</v>
      </c>
      <c r="AG82" s="29">
        <v>1</v>
      </c>
      <c r="AH82" s="29">
        <v>1</v>
      </c>
      <c r="AI82" s="69">
        <v>1</v>
      </c>
      <c r="AJ82" s="46">
        <v>5168.45</v>
      </c>
    </row>
    <row r="83" spans="2:36">
      <c r="B83" s="62" t="s">
        <v>389</v>
      </c>
      <c r="C83" s="14" t="s">
        <v>205</v>
      </c>
      <c r="D83" s="16" t="s">
        <v>205</v>
      </c>
      <c r="E83" s="16" t="s">
        <v>53</v>
      </c>
      <c r="F83" s="16" t="s">
        <v>56</v>
      </c>
      <c r="G83" s="2" t="s">
        <v>283</v>
      </c>
      <c r="H83" s="43" t="s">
        <v>100</v>
      </c>
      <c r="I83" s="16" t="s">
        <v>101</v>
      </c>
      <c r="J83" s="17" t="s">
        <v>92</v>
      </c>
      <c r="K83" s="17">
        <v>3</v>
      </c>
      <c r="L83" s="18">
        <v>454.23199999999997</v>
      </c>
      <c r="M83" s="30">
        <v>2503.3719999999998</v>
      </c>
      <c r="N83" s="31">
        <v>3786.32</v>
      </c>
      <c r="O83" s="32">
        <v>1362.6959999999999</v>
      </c>
      <c r="P83" s="32">
        <v>7510.116</v>
      </c>
      <c r="Q83" s="32">
        <v>11358.960000000001</v>
      </c>
      <c r="R83" s="47">
        <v>3</v>
      </c>
      <c r="S83" s="21">
        <v>46207</v>
      </c>
      <c r="T83" s="33">
        <v>46210</v>
      </c>
      <c r="U83" s="34">
        <v>27</v>
      </c>
      <c r="V83" s="35">
        <v>28</v>
      </c>
      <c r="W83" s="33">
        <v>46208</v>
      </c>
      <c r="X83" s="33">
        <v>46211</v>
      </c>
      <c r="Y83" s="36">
        <v>27</v>
      </c>
      <c r="Z83" s="36">
        <v>28</v>
      </c>
      <c r="AA83" s="25">
        <v>0</v>
      </c>
      <c r="AB83" s="37">
        <v>0</v>
      </c>
      <c r="AC83" s="38">
        <v>0</v>
      </c>
      <c r="AD83" s="39">
        <v>0</v>
      </c>
      <c r="AE83" s="39">
        <v>0</v>
      </c>
      <c r="AF83" s="39">
        <v>0</v>
      </c>
      <c r="AG83" s="29">
        <v>0</v>
      </c>
      <c r="AH83" s="29">
        <v>0</v>
      </c>
      <c r="AI83" s="69">
        <v>0</v>
      </c>
      <c r="AJ83" s="46">
        <v>0</v>
      </c>
    </row>
    <row r="84" spans="2:36">
      <c r="B84" s="62" t="s">
        <v>389</v>
      </c>
      <c r="C84" s="14" t="s">
        <v>205</v>
      </c>
      <c r="D84" s="16" t="s">
        <v>205</v>
      </c>
      <c r="E84" s="16" t="s">
        <v>53</v>
      </c>
      <c r="F84" s="16" t="s">
        <v>56</v>
      </c>
      <c r="G84" s="2" t="s">
        <v>284</v>
      </c>
      <c r="H84" s="43" t="s">
        <v>102</v>
      </c>
      <c r="I84" s="16" t="s">
        <v>103</v>
      </c>
      <c r="J84" s="17" t="s">
        <v>92</v>
      </c>
      <c r="K84" s="17">
        <v>2</v>
      </c>
      <c r="L84" s="18">
        <v>384</v>
      </c>
      <c r="M84" s="30">
        <v>2496.2600000000002</v>
      </c>
      <c r="N84" s="31">
        <v>3747.07</v>
      </c>
      <c r="O84" s="32">
        <v>768</v>
      </c>
      <c r="P84" s="32">
        <v>4992.5200000000004</v>
      </c>
      <c r="Q84" s="32">
        <v>7494.14</v>
      </c>
      <c r="R84" s="47">
        <v>4</v>
      </c>
      <c r="S84" s="21">
        <v>46209</v>
      </c>
      <c r="T84" s="33">
        <v>46213</v>
      </c>
      <c r="U84" s="34">
        <v>28</v>
      </c>
      <c r="V84" s="35">
        <v>28</v>
      </c>
      <c r="W84" s="33">
        <v>46210</v>
      </c>
      <c r="X84" s="33">
        <v>46216</v>
      </c>
      <c r="Y84" s="36">
        <v>28</v>
      </c>
      <c r="Z84" s="36">
        <v>29</v>
      </c>
      <c r="AA84" s="25">
        <v>0</v>
      </c>
      <c r="AB84" s="37">
        <v>0.5</v>
      </c>
      <c r="AC84" s="38">
        <v>0.5</v>
      </c>
      <c r="AD84" s="39">
        <v>0</v>
      </c>
      <c r="AE84" s="39">
        <v>3747.07</v>
      </c>
      <c r="AF84" s="39">
        <v>0</v>
      </c>
      <c r="AG84" s="29">
        <v>1</v>
      </c>
      <c r="AH84" s="29">
        <v>1</v>
      </c>
      <c r="AI84" s="69">
        <v>0.5</v>
      </c>
      <c r="AJ84" s="46">
        <v>3747.07</v>
      </c>
    </row>
    <row r="85" spans="2:36">
      <c r="B85" s="62" t="s">
        <v>389</v>
      </c>
      <c r="C85" s="14" t="s">
        <v>205</v>
      </c>
      <c r="D85" s="16" t="s">
        <v>205</v>
      </c>
      <c r="E85" s="16" t="s">
        <v>53</v>
      </c>
      <c r="F85" s="16" t="s">
        <v>56</v>
      </c>
      <c r="G85" s="2" t="s">
        <v>285</v>
      </c>
      <c r="H85" s="43" t="s">
        <v>104</v>
      </c>
      <c r="I85" s="16" t="s">
        <v>105</v>
      </c>
      <c r="J85" s="17" t="s">
        <v>92</v>
      </c>
      <c r="K85" s="17">
        <v>2</v>
      </c>
      <c r="L85" s="18">
        <v>288</v>
      </c>
      <c r="M85" s="30">
        <v>4504.2300000000005</v>
      </c>
      <c r="N85" s="31">
        <v>6593.86</v>
      </c>
      <c r="O85" s="32">
        <v>576</v>
      </c>
      <c r="P85" s="32">
        <v>9008.4600000000009</v>
      </c>
      <c r="Q85" s="32">
        <v>13187.72</v>
      </c>
      <c r="R85" s="47">
        <v>10</v>
      </c>
      <c r="S85" s="21">
        <v>46212</v>
      </c>
      <c r="T85" s="33">
        <v>46222</v>
      </c>
      <c r="U85" s="34">
        <v>28</v>
      </c>
      <c r="V85" s="35">
        <v>29</v>
      </c>
      <c r="W85" s="33">
        <v>46212</v>
      </c>
      <c r="X85" s="33">
        <v>46224</v>
      </c>
      <c r="Y85" s="36">
        <v>28</v>
      </c>
      <c r="Z85" s="36">
        <v>30</v>
      </c>
      <c r="AA85" s="25">
        <v>0</v>
      </c>
      <c r="AB85" s="37">
        <v>1</v>
      </c>
      <c r="AC85" s="38">
        <v>1</v>
      </c>
      <c r="AD85" s="39">
        <v>0</v>
      </c>
      <c r="AE85" s="39">
        <v>13187.72</v>
      </c>
      <c r="AF85" s="39">
        <v>0</v>
      </c>
      <c r="AG85" s="29">
        <v>2</v>
      </c>
      <c r="AH85" s="29">
        <v>2</v>
      </c>
      <c r="AI85" s="69">
        <v>1</v>
      </c>
      <c r="AJ85" s="46">
        <v>13187.72</v>
      </c>
    </row>
    <row r="86" spans="2:36">
      <c r="B86" s="62" t="s">
        <v>389</v>
      </c>
      <c r="C86" s="14" t="s">
        <v>205</v>
      </c>
      <c r="D86" s="16" t="s">
        <v>205</v>
      </c>
      <c r="E86" s="16" t="s">
        <v>53</v>
      </c>
      <c r="F86" s="16" t="s">
        <v>56</v>
      </c>
      <c r="G86" s="2" t="s">
        <v>286</v>
      </c>
      <c r="H86" s="43" t="s">
        <v>106</v>
      </c>
      <c r="I86" s="16" t="s">
        <v>107</v>
      </c>
      <c r="J86" s="17" t="s">
        <v>92</v>
      </c>
      <c r="K86" s="17">
        <v>4</v>
      </c>
      <c r="L86" s="18">
        <v>288</v>
      </c>
      <c r="M86" s="30">
        <v>999.26</v>
      </c>
      <c r="N86" s="31">
        <v>1555.46</v>
      </c>
      <c r="O86" s="32">
        <v>1152</v>
      </c>
      <c r="P86" s="32">
        <v>3997.04</v>
      </c>
      <c r="Q86" s="32">
        <v>6221.84</v>
      </c>
      <c r="R86" s="47">
        <v>7</v>
      </c>
      <c r="S86" s="21">
        <v>46215</v>
      </c>
      <c r="T86" s="33">
        <v>46222</v>
      </c>
      <c r="U86" s="34">
        <v>28</v>
      </c>
      <c r="V86" s="35">
        <v>29</v>
      </c>
      <c r="W86" s="33">
        <v>46216</v>
      </c>
      <c r="X86" s="33">
        <v>46225</v>
      </c>
      <c r="Y86" s="36">
        <v>29</v>
      </c>
      <c r="Z86" s="36">
        <v>30</v>
      </c>
      <c r="AA86" s="25">
        <v>0</v>
      </c>
      <c r="AB86" s="37">
        <v>0</v>
      </c>
      <c r="AC86" s="38">
        <v>0</v>
      </c>
      <c r="AD86" s="39">
        <v>0</v>
      </c>
      <c r="AE86" s="39">
        <v>0</v>
      </c>
      <c r="AF86" s="39">
        <v>0</v>
      </c>
      <c r="AG86" s="29">
        <v>0</v>
      </c>
      <c r="AH86" s="29">
        <v>0</v>
      </c>
      <c r="AI86" s="69">
        <v>0</v>
      </c>
      <c r="AJ86" s="46">
        <v>0</v>
      </c>
    </row>
    <row r="87" spans="2:36">
      <c r="B87" s="62" t="s">
        <v>389</v>
      </c>
      <c r="C87" s="14" t="s">
        <v>205</v>
      </c>
      <c r="D87" s="16" t="s">
        <v>205</v>
      </c>
      <c r="E87" s="16" t="s">
        <v>53</v>
      </c>
      <c r="F87" s="16" t="s">
        <v>56</v>
      </c>
      <c r="G87" s="2" t="s">
        <v>287</v>
      </c>
      <c r="H87" s="43" t="s">
        <v>108</v>
      </c>
      <c r="I87" s="16" t="s">
        <v>109</v>
      </c>
      <c r="J87" s="17" t="s">
        <v>92</v>
      </c>
      <c r="K87" s="17">
        <v>4</v>
      </c>
      <c r="L87" s="18">
        <v>336</v>
      </c>
      <c r="M87" s="30">
        <v>961.09</v>
      </c>
      <c r="N87" s="31">
        <v>1520.43</v>
      </c>
      <c r="O87" s="32">
        <v>1344</v>
      </c>
      <c r="P87" s="32">
        <v>3844.36</v>
      </c>
      <c r="Q87" s="32">
        <v>6081.72</v>
      </c>
      <c r="R87" s="47">
        <v>7</v>
      </c>
      <c r="S87" s="21">
        <v>46217</v>
      </c>
      <c r="T87" s="33">
        <v>46224</v>
      </c>
      <c r="U87" s="34">
        <v>29</v>
      </c>
      <c r="V87" s="35">
        <v>30</v>
      </c>
      <c r="W87" s="33">
        <v>46218</v>
      </c>
      <c r="X87" s="33">
        <v>46226</v>
      </c>
      <c r="Y87" s="36">
        <v>29</v>
      </c>
      <c r="Z87" s="36">
        <v>30</v>
      </c>
      <c r="AA87" s="25">
        <v>0</v>
      </c>
      <c r="AB87" s="37">
        <v>0</v>
      </c>
      <c r="AC87" s="38">
        <v>0</v>
      </c>
      <c r="AD87" s="39">
        <v>0</v>
      </c>
      <c r="AE87" s="39">
        <v>0</v>
      </c>
      <c r="AF87" s="39">
        <v>0</v>
      </c>
      <c r="AG87" s="29">
        <v>0</v>
      </c>
      <c r="AH87" s="29">
        <v>0</v>
      </c>
      <c r="AI87" s="69">
        <v>0</v>
      </c>
      <c r="AJ87" s="46">
        <v>0</v>
      </c>
    </row>
    <row r="88" spans="2:36">
      <c r="B88" s="62" t="s">
        <v>389</v>
      </c>
      <c r="C88" s="14" t="s">
        <v>205</v>
      </c>
      <c r="D88" s="16" t="s">
        <v>205</v>
      </c>
      <c r="E88" s="16" t="s">
        <v>53</v>
      </c>
      <c r="F88" s="16" t="s">
        <v>56</v>
      </c>
      <c r="G88" s="2" t="s">
        <v>288</v>
      </c>
      <c r="H88" s="43" t="s">
        <v>110</v>
      </c>
      <c r="I88" s="16" t="s">
        <v>111</v>
      </c>
      <c r="J88" s="17" t="s">
        <v>92</v>
      </c>
      <c r="K88" s="17">
        <v>1</v>
      </c>
      <c r="L88" s="18">
        <v>288</v>
      </c>
      <c r="M88" s="30">
        <v>648.20000000000005</v>
      </c>
      <c r="N88" s="31">
        <v>1050.81</v>
      </c>
      <c r="O88" s="32">
        <v>288</v>
      </c>
      <c r="P88" s="32">
        <v>648.20000000000005</v>
      </c>
      <c r="Q88" s="32">
        <v>1050.81</v>
      </c>
      <c r="R88" s="47">
        <v>6</v>
      </c>
      <c r="S88" s="21">
        <v>46220</v>
      </c>
      <c r="T88" s="33">
        <v>46226</v>
      </c>
      <c r="U88" s="34">
        <v>29</v>
      </c>
      <c r="V88" s="35">
        <v>30</v>
      </c>
      <c r="W88" s="33">
        <v>46220</v>
      </c>
      <c r="X88" s="33">
        <v>46226</v>
      </c>
      <c r="Y88" s="36">
        <v>29</v>
      </c>
      <c r="Z88" s="36">
        <v>30</v>
      </c>
      <c r="AA88" s="25">
        <v>0</v>
      </c>
      <c r="AB88" s="37">
        <v>0</v>
      </c>
      <c r="AC88" s="38">
        <v>0</v>
      </c>
      <c r="AD88" s="39">
        <v>0</v>
      </c>
      <c r="AE88" s="39">
        <v>0</v>
      </c>
      <c r="AF88" s="39">
        <v>0</v>
      </c>
      <c r="AG88" s="29">
        <v>0</v>
      </c>
      <c r="AH88" s="29">
        <v>0</v>
      </c>
      <c r="AI88" s="69">
        <v>0</v>
      </c>
      <c r="AJ88" s="46">
        <v>0</v>
      </c>
    </row>
    <row r="89" spans="2:36">
      <c r="B89" s="62" t="s">
        <v>389</v>
      </c>
      <c r="C89" s="14" t="s">
        <v>205</v>
      </c>
      <c r="D89" s="16" t="s">
        <v>205</v>
      </c>
      <c r="E89" s="16" t="s">
        <v>53</v>
      </c>
      <c r="F89" s="16" t="s">
        <v>56</v>
      </c>
      <c r="G89" s="2" t="s">
        <v>289</v>
      </c>
      <c r="H89" s="43" t="s">
        <v>180</v>
      </c>
      <c r="I89" s="16" t="s">
        <v>181</v>
      </c>
      <c r="J89" s="17" t="s">
        <v>92</v>
      </c>
      <c r="K89" s="17">
        <v>2</v>
      </c>
      <c r="L89" s="18">
        <v>288</v>
      </c>
      <c r="M89" s="30">
        <v>1605.04</v>
      </c>
      <c r="N89" s="31">
        <v>2426.27</v>
      </c>
      <c r="O89" s="32">
        <v>576</v>
      </c>
      <c r="P89" s="32">
        <v>3210.08</v>
      </c>
      <c r="Q89" s="32">
        <v>4852.54</v>
      </c>
      <c r="R89" s="47">
        <v>5</v>
      </c>
      <c r="S89" s="21">
        <v>46222</v>
      </c>
      <c r="T89" s="33">
        <v>46227</v>
      </c>
      <c r="U89" s="34">
        <v>29</v>
      </c>
      <c r="V89" s="35">
        <v>30</v>
      </c>
      <c r="W89" s="33">
        <v>46222</v>
      </c>
      <c r="X89" s="33">
        <v>46229</v>
      </c>
      <c r="Y89" s="36">
        <v>29</v>
      </c>
      <c r="Z89" s="36">
        <v>30</v>
      </c>
      <c r="AA89" s="25">
        <v>0</v>
      </c>
      <c r="AB89" s="37">
        <v>0</v>
      </c>
      <c r="AC89" s="38">
        <v>0</v>
      </c>
      <c r="AD89" s="39">
        <v>0</v>
      </c>
      <c r="AE89" s="39">
        <v>0</v>
      </c>
      <c r="AF89" s="39">
        <v>0</v>
      </c>
      <c r="AG89" s="29">
        <v>0</v>
      </c>
      <c r="AH89" s="29">
        <v>0</v>
      </c>
      <c r="AI89" s="69">
        <v>0</v>
      </c>
      <c r="AJ89" s="46">
        <v>0</v>
      </c>
    </row>
    <row r="90" spans="2:36">
      <c r="B90" s="62" t="s">
        <v>389</v>
      </c>
      <c r="C90" s="14" t="s">
        <v>205</v>
      </c>
      <c r="D90" s="16" t="s">
        <v>205</v>
      </c>
      <c r="E90" s="16" t="s">
        <v>53</v>
      </c>
      <c r="F90" s="16" t="s">
        <v>56</v>
      </c>
      <c r="G90" s="2" t="s">
        <v>290</v>
      </c>
      <c r="H90" s="43" t="s">
        <v>68</v>
      </c>
      <c r="I90" s="16" t="s">
        <v>115</v>
      </c>
      <c r="J90" s="17" t="s">
        <v>92</v>
      </c>
      <c r="K90" s="17">
        <v>45</v>
      </c>
      <c r="L90" s="18">
        <v>256</v>
      </c>
      <c r="M90" s="30">
        <v>1359</v>
      </c>
      <c r="N90" s="31">
        <v>2059.36</v>
      </c>
      <c r="O90" s="32">
        <v>11520</v>
      </c>
      <c r="P90" s="32">
        <v>61155</v>
      </c>
      <c r="Q90" s="32">
        <v>92671.200000000012</v>
      </c>
      <c r="R90" s="47">
        <v>10</v>
      </c>
      <c r="S90" s="21">
        <v>46225</v>
      </c>
      <c r="T90" s="33">
        <v>46235</v>
      </c>
      <c r="U90" s="34">
        <v>30</v>
      </c>
      <c r="V90" s="35">
        <v>31</v>
      </c>
      <c r="W90" s="33">
        <v>46227</v>
      </c>
      <c r="X90" s="33">
        <v>46238</v>
      </c>
      <c r="Y90" s="36">
        <v>30</v>
      </c>
      <c r="Z90" s="36">
        <v>32</v>
      </c>
      <c r="AA90" s="25">
        <v>0</v>
      </c>
      <c r="AB90" s="37">
        <v>0.64444444444444449</v>
      </c>
      <c r="AC90" s="38">
        <v>0.64444444444444449</v>
      </c>
      <c r="AD90" s="39">
        <v>0</v>
      </c>
      <c r="AE90" s="39">
        <v>59721.44000000001</v>
      </c>
      <c r="AF90" s="39">
        <v>0</v>
      </c>
      <c r="AG90" s="29">
        <v>29</v>
      </c>
      <c r="AH90" s="29">
        <v>29</v>
      </c>
      <c r="AI90" s="69">
        <v>0.64444444444444449</v>
      </c>
      <c r="AJ90" s="46">
        <v>59721.440000000002</v>
      </c>
    </row>
    <row r="91" spans="2:36">
      <c r="B91" s="62" t="s">
        <v>389</v>
      </c>
      <c r="C91" s="14" t="s">
        <v>205</v>
      </c>
      <c r="D91" s="16" t="s">
        <v>205</v>
      </c>
      <c r="E91" s="16" t="s">
        <v>53</v>
      </c>
      <c r="F91" s="16" t="s">
        <v>56</v>
      </c>
      <c r="G91" s="2" t="s">
        <v>291</v>
      </c>
      <c r="H91" s="43" t="s">
        <v>69</v>
      </c>
      <c r="I91" s="16" t="s">
        <v>116</v>
      </c>
      <c r="J91" s="17" t="s">
        <v>92</v>
      </c>
      <c r="K91" s="17">
        <v>5</v>
      </c>
      <c r="L91" s="18">
        <v>256</v>
      </c>
      <c r="M91" s="30">
        <v>1843.9199999999998</v>
      </c>
      <c r="N91" s="31">
        <v>2756.44</v>
      </c>
      <c r="O91" s="32">
        <v>1280</v>
      </c>
      <c r="P91" s="32">
        <v>9219.5999999999985</v>
      </c>
      <c r="Q91" s="32">
        <v>13782.2</v>
      </c>
      <c r="R91" s="47">
        <v>5</v>
      </c>
      <c r="S91" s="21">
        <v>46228</v>
      </c>
      <c r="T91" s="33">
        <v>46233</v>
      </c>
      <c r="U91" s="34">
        <v>30</v>
      </c>
      <c r="V91" s="35">
        <v>31</v>
      </c>
      <c r="W91" s="33">
        <v>46229</v>
      </c>
      <c r="X91" s="33">
        <v>46234</v>
      </c>
      <c r="Y91" s="36">
        <v>30</v>
      </c>
      <c r="Z91" s="36">
        <v>31</v>
      </c>
      <c r="AA91" s="25">
        <v>0</v>
      </c>
      <c r="AB91" s="37">
        <v>0</v>
      </c>
      <c r="AC91" s="38">
        <v>0</v>
      </c>
      <c r="AD91" s="39">
        <v>0</v>
      </c>
      <c r="AE91" s="39">
        <v>0</v>
      </c>
      <c r="AF91" s="39">
        <v>0</v>
      </c>
      <c r="AG91" s="29">
        <v>0</v>
      </c>
      <c r="AH91" s="29">
        <v>0</v>
      </c>
      <c r="AI91" s="69">
        <v>0</v>
      </c>
      <c r="AJ91" s="46">
        <v>0</v>
      </c>
    </row>
    <row r="92" spans="2:36">
      <c r="B92" s="62" t="s">
        <v>389</v>
      </c>
      <c r="C92" s="14" t="s">
        <v>205</v>
      </c>
      <c r="D92" s="16" t="s">
        <v>205</v>
      </c>
      <c r="E92" s="16" t="s">
        <v>53</v>
      </c>
      <c r="F92" s="16" t="s">
        <v>56</v>
      </c>
      <c r="G92" s="2" t="s">
        <v>292</v>
      </c>
      <c r="H92" s="43" t="s">
        <v>119</v>
      </c>
      <c r="I92" s="16" t="s">
        <v>120</v>
      </c>
      <c r="J92" s="17" t="s">
        <v>92</v>
      </c>
      <c r="K92" s="17">
        <v>6</v>
      </c>
      <c r="L92" s="18">
        <v>454.23199999999997</v>
      </c>
      <c r="M92" s="30">
        <v>1361.242</v>
      </c>
      <c r="N92" s="31">
        <v>2144.5100000000002</v>
      </c>
      <c r="O92" s="32">
        <v>2725.3919999999998</v>
      </c>
      <c r="P92" s="32">
        <v>8167.4519999999993</v>
      </c>
      <c r="Q92" s="32">
        <v>12867.060000000001</v>
      </c>
      <c r="R92" s="47">
        <v>4</v>
      </c>
      <c r="S92" s="21">
        <v>46231</v>
      </c>
      <c r="T92" s="33">
        <v>46235</v>
      </c>
      <c r="U92" s="34">
        <v>31</v>
      </c>
      <c r="V92" s="35">
        <v>31</v>
      </c>
      <c r="W92" s="33">
        <v>46231</v>
      </c>
      <c r="X92" s="33">
        <v>46235</v>
      </c>
      <c r="Y92" s="36">
        <v>31</v>
      </c>
      <c r="Z92" s="36">
        <v>31</v>
      </c>
      <c r="AA92" s="25">
        <v>0</v>
      </c>
      <c r="AB92" s="37">
        <v>0.33333333333333331</v>
      </c>
      <c r="AC92" s="38">
        <v>0.33333333333333331</v>
      </c>
      <c r="AD92" s="39">
        <v>0</v>
      </c>
      <c r="AE92" s="39">
        <v>4289.0200000000004</v>
      </c>
      <c r="AF92" s="39">
        <v>0</v>
      </c>
      <c r="AG92" s="29">
        <v>2</v>
      </c>
      <c r="AH92" s="29">
        <v>2</v>
      </c>
      <c r="AI92" s="69">
        <v>0.33333333333333331</v>
      </c>
      <c r="AJ92" s="46">
        <v>4289.0200000000004</v>
      </c>
    </row>
    <row r="93" spans="2:36">
      <c r="B93" s="62" t="s">
        <v>389</v>
      </c>
      <c r="C93" s="14" t="s">
        <v>205</v>
      </c>
      <c r="D93" s="16" t="s">
        <v>205</v>
      </c>
      <c r="E93" s="16" t="s">
        <v>53</v>
      </c>
      <c r="F93" s="16" t="s">
        <v>56</v>
      </c>
      <c r="G93" s="2" t="s">
        <v>293</v>
      </c>
      <c r="H93" s="43" t="s">
        <v>117</v>
      </c>
      <c r="I93" s="16" t="s">
        <v>118</v>
      </c>
      <c r="J93" s="17" t="s">
        <v>92</v>
      </c>
      <c r="K93" s="17">
        <v>5</v>
      </c>
      <c r="L93" s="18">
        <v>454.23199999999997</v>
      </c>
      <c r="M93" s="30">
        <v>1990.502</v>
      </c>
      <c r="N93" s="31">
        <v>3049.06</v>
      </c>
      <c r="O93" s="32">
        <v>2271.16</v>
      </c>
      <c r="P93" s="32">
        <v>9952.51</v>
      </c>
      <c r="Q93" s="32">
        <v>15245.3</v>
      </c>
      <c r="R93" s="47">
        <v>2</v>
      </c>
      <c r="S93" s="21">
        <v>46232</v>
      </c>
      <c r="T93" s="33">
        <v>46234</v>
      </c>
      <c r="U93" s="34">
        <v>31</v>
      </c>
      <c r="V93" s="35">
        <v>31</v>
      </c>
      <c r="W93" s="33">
        <v>46232</v>
      </c>
      <c r="X93" s="33">
        <v>46236</v>
      </c>
      <c r="Y93" s="36">
        <v>31</v>
      </c>
      <c r="Z93" s="36">
        <v>31</v>
      </c>
      <c r="AA93" s="25">
        <v>0</v>
      </c>
      <c r="AB93" s="37">
        <v>0.2</v>
      </c>
      <c r="AC93" s="38">
        <v>0.2</v>
      </c>
      <c r="AD93" s="39">
        <v>0</v>
      </c>
      <c r="AE93" s="39">
        <v>3049.06</v>
      </c>
      <c r="AF93" s="39">
        <v>0</v>
      </c>
      <c r="AG93" s="29">
        <v>1</v>
      </c>
      <c r="AH93" s="29">
        <v>1</v>
      </c>
      <c r="AI93" s="69">
        <v>0.2</v>
      </c>
      <c r="AJ93" s="46">
        <v>3049.06</v>
      </c>
    </row>
    <row r="94" spans="2:36">
      <c r="B94" s="62" t="s">
        <v>389</v>
      </c>
      <c r="C94" s="14" t="s">
        <v>205</v>
      </c>
      <c r="D94" s="16" t="s">
        <v>205</v>
      </c>
      <c r="E94" s="16" t="s">
        <v>53</v>
      </c>
      <c r="F94" s="16" t="s">
        <v>56</v>
      </c>
      <c r="G94" s="2" t="s">
        <v>294</v>
      </c>
      <c r="H94" s="43" t="s">
        <v>63</v>
      </c>
      <c r="I94" s="16" t="s">
        <v>121</v>
      </c>
      <c r="J94" s="17" t="s">
        <v>92</v>
      </c>
      <c r="K94" s="17">
        <v>3</v>
      </c>
      <c r="L94" s="18">
        <v>216</v>
      </c>
      <c r="M94" s="30">
        <v>949.59</v>
      </c>
      <c r="N94" s="31">
        <v>1454.3</v>
      </c>
      <c r="O94" s="32">
        <v>648</v>
      </c>
      <c r="P94" s="32">
        <v>2848.77</v>
      </c>
      <c r="Q94" s="32">
        <v>4362.8999999999996</v>
      </c>
      <c r="R94" s="47">
        <v>3</v>
      </c>
      <c r="S94" s="21">
        <v>46234</v>
      </c>
      <c r="T94" s="33">
        <v>46237</v>
      </c>
      <c r="U94" s="34">
        <v>31</v>
      </c>
      <c r="V94" s="35">
        <v>32</v>
      </c>
      <c r="W94" s="33">
        <v>46234</v>
      </c>
      <c r="X94" s="33">
        <v>46237</v>
      </c>
      <c r="Y94" s="36">
        <v>31</v>
      </c>
      <c r="Z94" s="36">
        <v>32</v>
      </c>
      <c r="AA94" s="25">
        <v>0</v>
      </c>
      <c r="AB94" s="37">
        <v>0</v>
      </c>
      <c r="AC94" s="38">
        <v>0</v>
      </c>
      <c r="AD94" s="39">
        <v>0</v>
      </c>
      <c r="AE94" s="39">
        <v>0</v>
      </c>
      <c r="AF94" s="39">
        <v>0</v>
      </c>
      <c r="AG94" s="29">
        <v>0</v>
      </c>
      <c r="AH94" s="29">
        <v>0</v>
      </c>
      <c r="AI94" s="69">
        <v>0</v>
      </c>
      <c r="AJ94" s="46">
        <v>0</v>
      </c>
    </row>
    <row r="95" spans="2:36">
      <c r="B95" s="62" t="s">
        <v>389</v>
      </c>
      <c r="C95" s="14" t="s">
        <v>205</v>
      </c>
      <c r="D95" s="16" t="s">
        <v>205</v>
      </c>
      <c r="E95" s="16" t="s">
        <v>53</v>
      </c>
      <c r="F95" s="16" t="s">
        <v>56</v>
      </c>
      <c r="G95" s="2" t="s">
        <v>295</v>
      </c>
      <c r="H95" s="43" t="s">
        <v>67</v>
      </c>
      <c r="I95" s="16" t="s">
        <v>125</v>
      </c>
      <c r="J95" s="17" t="s">
        <v>92</v>
      </c>
      <c r="K95" s="17">
        <v>1</v>
      </c>
      <c r="L95" s="18">
        <v>256</v>
      </c>
      <c r="M95" s="30">
        <v>1256</v>
      </c>
      <c r="N95" s="31">
        <v>1911.3</v>
      </c>
      <c r="O95" s="32">
        <v>256</v>
      </c>
      <c r="P95" s="32">
        <v>1256</v>
      </c>
      <c r="Q95" s="32">
        <v>1911.3</v>
      </c>
      <c r="R95" s="47">
        <v>6</v>
      </c>
      <c r="S95" s="21">
        <v>46236</v>
      </c>
      <c r="T95" s="33">
        <v>46242</v>
      </c>
      <c r="U95" s="34">
        <v>31</v>
      </c>
      <c r="V95" s="35">
        <v>32</v>
      </c>
      <c r="W95" s="33">
        <v>46236</v>
      </c>
      <c r="X95" s="33">
        <v>46243</v>
      </c>
      <c r="Y95" s="36">
        <v>31</v>
      </c>
      <c r="Z95" s="36">
        <v>32</v>
      </c>
      <c r="AA95" s="25">
        <v>0</v>
      </c>
      <c r="AB95" s="37">
        <v>1</v>
      </c>
      <c r="AC95" s="38">
        <v>1</v>
      </c>
      <c r="AD95" s="39">
        <v>0</v>
      </c>
      <c r="AE95" s="39">
        <v>1911.3</v>
      </c>
      <c r="AF95" s="39">
        <v>0</v>
      </c>
      <c r="AG95" s="29">
        <v>1</v>
      </c>
      <c r="AH95" s="29">
        <v>1</v>
      </c>
      <c r="AI95" s="69">
        <v>1</v>
      </c>
      <c r="AJ95" s="46">
        <v>1911.3</v>
      </c>
    </row>
    <row r="96" spans="2:36">
      <c r="B96" s="62" t="s">
        <v>389</v>
      </c>
      <c r="C96" s="14" t="s">
        <v>205</v>
      </c>
      <c r="D96" s="16" t="s">
        <v>205</v>
      </c>
      <c r="E96" s="16" t="s">
        <v>49</v>
      </c>
      <c r="F96" s="16" t="s">
        <v>50</v>
      </c>
      <c r="G96" s="2" t="s">
        <v>296</v>
      </c>
      <c r="H96" s="43" t="s">
        <v>135</v>
      </c>
      <c r="I96" s="16" t="s">
        <v>136</v>
      </c>
      <c r="J96" s="17" t="s">
        <v>92</v>
      </c>
      <c r="K96" s="17">
        <v>2</v>
      </c>
      <c r="L96" s="18">
        <v>296.00799999999998</v>
      </c>
      <c r="M96" s="30">
        <v>307.108</v>
      </c>
      <c r="N96" s="31">
        <v>563.79</v>
      </c>
      <c r="O96" s="32">
        <v>592.01599999999996</v>
      </c>
      <c r="P96" s="32">
        <v>614.21600000000001</v>
      </c>
      <c r="Q96" s="32">
        <v>1127.58</v>
      </c>
      <c r="R96" s="47">
        <v>9</v>
      </c>
      <c r="S96" s="21">
        <v>46237</v>
      </c>
      <c r="T96" s="33">
        <v>46246</v>
      </c>
      <c r="U96" s="34">
        <v>32</v>
      </c>
      <c r="V96" s="35">
        <v>33</v>
      </c>
      <c r="W96" s="33">
        <v>46237</v>
      </c>
      <c r="X96" s="33">
        <v>46247</v>
      </c>
      <c r="Y96" s="36">
        <v>32</v>
      </c>
      <c r="Z96" s="36">
        <v>33</v>
      </c>
      <c r="AA96" s="25">
        <v>0</v>
      </c>
      <c r="AB96" s="37">
        <v>1</v>
      </c>
      <c r="AC96" s="38">
        <v>1</v>
      </c>
      <c r="AD96" s="39">
        <v>0</v>
      </c>
      <c r="AE96" s="39">
        <v>1127.58</v>
      </c>
      <c r="AF96" s="39">
        <v>0</v>
      </c>
      <c r="AG96" s="29">
        <v>2</v>
      </c>
      <c r="AH96" s="29">
        <v>2</v>
      </c>
      <c r="AI96" s="69">
        <v>1</v>
      </c>
      <c r="AJ96" s="46">
        <v>1127.58</v>
      </c>
    </row>
    <row r="97" spans="2:36">
      <c r="B97" s="62" t="s">
        <v>389</v>
      </c>
      <c r="C97" s="14" t="s">
        <v>205</v>
      </c>
      <c r="D97" s="16" t="s">
        <v>205</v>
      </c>
      <c r="E97" s="16" t="s">
        <v>49</v>
      </c>
      <c r="F97" s="16" t="s">
        <v>50</v>
      </c>
      <c r="G97" s="2" t="s">
        <v>297</v>
      </c>
      <c r="H97" s="43" t="s">
        <v>137</v>
      </c>
      <c r="I97" s="16" t="s">
        <v>138</v>
      </c>
      <c r="J97" s="17" t="s">
        <v>92</v>
      </c>
      <c r="K97" s="17">
        <v>2</v>
      </c>
      <c r="L97" s="18">
        <v>80</v>
      </c>
      <c r="M97" s="30">
        <v>383</v>
      </c>
      <c r="N97" s="31">
        <v>583.63</v>
      </c>
      <c r="O97" s="32">
        <v>160</v>
      </c>
      <c r="P97" s="32">
        <v>766</v>
      </c>
      <c r="Q97" s="32">
        <v>1167.26</v>
      </c>
      <c r="R97" s="47">
        <v>10</v>
      </c>
      <c r="S97" s="21">
        <v>46238</v>
      </c>
      <c r="T97" s="33">
        <v>46248</v>
      </c>
      <c r="U97" s="34">
        <v>32</v>
      </c>
      <c r="V97" s="35">
        <v>33</v>
      </c>
      <c r="W97" s="33">
        <v>46238</v>
      </c>
      <c r="X97" s="33">
        <v>46249</v>
      </c>
      <c r="Y97" s="36">
        <v>32</v>
      </c>
      <c r="Z97" s="36">
        <v>33</v>
      </c>
      <c r="AA97" s="25">
        <v>0</v>
      </c>
      <c r="AB97" s="37">
        <v>1</v>
      </c>
      <c r="AC97" s="38">
        <v>1</v>
      </c>
      <c r="AD97" s="39">
        <v>0</v>
      </c>
      <c r="AE97" s="39">
        <v>1167.26</v>
      </c>
      <c r="AF97" s="39">
        <v>0</v>
      </c>
      <c r="AG97" s="29">
        <v>2</v>
      </c>
      <c r="AH97" s="29">
        <v>2</v>
      </c>
      <c r="AI97" s="69">
        <v>1</v>
      </c>
      <c r="AJ97" s="46">
        <v>1167.26</v>
      </c>
    </row>
    <row r="98" spans="2:36">
      <c r="B98" s="62" t="s">
        <v>389</v>
      </c>
      <c r="C98" s="14" t="s">
        <v>205</v>
      </c>
      <c r="D98" s="16" t="s">
        <v>205</v>
      </c>
      <c r="E98" s="16" t="s">
        <v>49</v>
      </c>
      <c r="F98" s="16" t="s">
        <v>52</v>
      </c>
      <c r="G98" s="2" t="s">
        <v>298</v>
      </c>
      <c r="H98" s="43" t="s">
        <v>182</v>
      </c>
      <c r="I98" s="16" t="s">
        <v>140</v>
      </c>
      <c r="J98" s="17" t="s">
        <v>84</v>
      </c>
      <c r="K98" s="17">
        <v>1</v>
      </c>
      <c r="L98" s="18">
        <v>1271.9840000000002</v>
      </c>
      <c r="M98" s="30">
        <v>3859.1639999999998</v>
      </c>
      <c r="N98" s="31">
        <v>6073.36</v>
      </c>
      <c r="O98" s="32">
        <v>1271.9840000000002</v>
      </c>
      <c r="P98" s="32">
        <v>3859.1639999999998</v>
      </c>
      <c r="Q98" s="32">
        <v>6073.36</v>
      </c>
      <c r="R98" s="47">
        <v>5</v>
      </c>
      <c r="S98" s="21">
        <v>46240</v>
      </c>
      <c r="T98" s="33">
        <v>46245</v>
      </c>
      <c r="U98" s="34">
        <v>32</v>
      </c>
      <c r="V98" s="35">
        <v>33</v>
      </c>
      <c r="W98" s="33">
        <v>46241</v>
      </c>
      <c r="X98" s="33">
        <v>46247</v>
      </c>
      <c r="Y98" s="36">
        <v>32</v>
      </c>
      <c r="Z98" s="36">
        <v>33</v>
      </c>
      <c r="AA98" s="25">
        <v>0</v>
      </c>
      <c r="AB98" s="37">
        <v>0</v>
      </c>
      <c r="AC98" s="38">
        <v>0</v>
      </c>
      <c r="AD98" s="39">
        <v>0</v>
      </c>
      <c r="AE98" s="39">
        <v>0</v>
      </c>
      <c r="AF98" s="39">
        <v>0</v>
      </c>
      <c r="AG98" s="29">
        <v>0</v>
      </c>
      <c r="AH98" s="29">
        <v>0</v>
      </c>
      <c r="AI98" s="69">
        <v>0</v>
      </c>
      <c r="AJ98" s="46">
        <v>0</v>
      </c>
    </row>
    <row r="99" spans="2:36">
      <c r="B99" s="62" t="s">
        <v>389</v>
      </c>
      <c r="C99" s="14" t="s">
        <v>205</v>
      </c>
      <c r="D99" s="16" t="s">
        <v>205</v>
      </c>
      <c r="E99" s="16" t="s">
        <v>74</v>
      </c>
      <c r="F99" s="16" t="s">
        <v>77</v>
      </c>
      <c r="G99" s="2" t="s">
        <v>299</v>
      </c>
      <c r="H99" s="43" t="s">
        <v>183</v>
      </c>
      <c r="I99" s="16" t="s">
        <v>142</v>
      </c>
      <c r="J99" s="17" t="s">
        <v>84</v>
      </c>
      <c r="K99" s="17">
        <v>1</v>
      </c>
      <c r="L99" s="18">
        <v>112859.944</v>
      </c>
      <c r="M99" s="30">
        <v>439242.12421499996</v>
      </c>
      <c r="N99" s="31">
        <v>641258.95527600008</v>
      </c>
      <c r="O99" s="32">
        <v>112859.944</v>
      </c>
      <c r="P99" s="32">
        <v>439242.12421499996</v>
      </c>
      <c r="Q99" s="32">
        <v>641258.95527600008</v>
      </c>
      <c r="R99" s="47">
        <v>5</v>
      </c>
      <c r="S99" s="21">
        <v>46243</v>
      </c>
      <c r="T99" s="33">
        <v>46248</v>
      </c>
      <c r="U99" s="34">
        <v>32</v>
      </c>
      <c r="V99" s="35">
        <v>33</v>
      </c>
      <c r="W99" s="33">
        <v>46245</v>
      </c>
      <c r="X99" s="33">
        <v>46252</v>
      </c>
      <c r="Y99" s="36">
        <v>33</v>
      </c>
      <c r="Z99" s="36">
        <v>34</v>
      </c>
      <c r="AA99" s="25">
        <v>0</v>
      </c>
      <c r="AB99" s="37">
        <v>1</v>
      </c>
      <c r="AC99" s="38">
        <v>1</v>
      </c>
      <c r="AD99" s="39">
        <v>0</v>
      </c>
      <c r="AE99" s="39">
        <v>641258.95527600008</v>
      </c>
      <c r="AF99" s="39">
        <v>0</v>
      </c>
      <c r="AG99" s="29">
        <v>1</v>
      </c>
      <c r="AH99" s="29">
        <v>1</v>
      </c>
      <c r="AI99" s="69">
        <v>1</v>
      </c>
      <c r="AJ99" s="46">
        <v>641258.95527600008</v>
      </c>
    </row>
    <row r="100" spans="2:36">
      <c r="B100" s="62" t="s">
        <v>389</v>
      </c>
      <c r="C100" s="14" t="s">
        <v>205</v>
      </c>
      <c r="D100" s="16" t="s">
        <v>205</v>
      </c>
      <c r="E100" s="16" t="s">
        <v>75</v>
      </c>
      <c r="F100" s="16" t="s">
        <v>58</v>
      </c>
      <c r="G100" s="2" t="s">
        <v>300</v>
      </c>
      <c r="H100" s="43" t="s">
        <v>145</v>
      </c>
      <c r="I100" s="16" t="s">
        <v>146</v>
      </c>
      <c r="J100" s="17" t="s">
        <v>92</v>
      </c>
      <c r="K100" s="17">
        <v>13</v>
      </c>
      <c r="L100" s="18">
        <v>296.00799999999998</v>
      </c>
      <c r="M100" s="30">
        <v>307.108</v>
      </c>
      <c r="N100" s="31">
        <v>563.79</v>
      </c>
      <c r="O100" s="32">
        <v>3848.1039999999998</v>
      </c>
      <c r="P100" s="32">
        <v>3992.404</v>
      </c>
      <c r="Q100" s="32">
        <v>7329.2699999999995</v>
      </c>
      <c r="R100" s="47">
        <v>4</v>
      </c>
      <c r="S100" s="21">
        <v>46244</v>
      </c>
      <c r="T100" s="33">
        <v>46248</v>
      </c>
      <c r="U100" s="34">
        <v>33</v>
      </c>
      <c r="V100" s="35">
        <v>33</v>
      </c>
      <c r="W100" s="33">
        <v>46244</v>
      </c>
      <c r="X100" s="33">
        <v>46248</v>
      </c>
      <c r="Y100" s="36">
        <v>33</v>
      </c>
      <c r="Z100" s="36">
        <v>33</v>
      </c>
      <c r="AA100" s="25">
        <v>0</v>
      </c>
      <c r="AB100" s="37">
        <v>0.15384615384615385</v>
      </c>
      <c r="AC100" s="38">
        <v>0.15384615384615385</v>
      </c>
      <c r="AD100" s="39">
        <v>0</v>
      </c>
      <c r="AE100" s="39">
        <v>1127.58</v>
      </c>
      <c r="AF100" s="39">
        <v>0</v>
      </c>
      <c r="AG100" s="29">
        <v>2</v>
      </c>
      <c r="AH100" s="29">
        <v>2</v>
      </c>
      <c r="AI100" s="69">
        <v>0.15384615384615385</v>
      </c>
      <c r="AJ100" s="46">
        <v>1127.58</v>
      </c>
    </row>
    <row r="101" spans="2:36">
      <c r="B101" s="62" t="s">
        <v>389</v>
      </c>
      <c r="C101" s="14" t="s">
        <v>205</v>
      </c>
      <c r="D101" s="16" t="s">
        <v>205</v>
      </c>
      <c r="E101" s="16" t="s">
        <v>75</v>
      </c>
      <c r="F101" s="16" t="s">
        <v>58</v>
      </c>
      <c r="G101" s="2" t="s">
        <v>301</v>
      </c>
      <c r="H101" s="43" t="s">
        <v>147</v>
      </c>
      <c r="I101" s="16" t="s">
        <v>148</v>
      </c>
      <c r="J101" s="17" t="s">
        <v>92</v>
      </c>
      <c r="K101" s="17">
        <v>13</v>
      </c>
      <c r="L101" s="18">
        <v>80</v>
      </c>
      <c r="M101" s="30">
        <v>83</v>
      </c>
      <c r="N101" s="31">
        <v>152.38</v>
      </c>
      <c r="O101" s="32">
        <v>1040</v>
      </c>
      <c r="P101" s="32">
        <v>1079</v>
      </c>
      <c r="Q101" s="32">
        <v>1980.94</v>
      </c>
      <c r="R101" s="47">
        <v>3</v>
      </c>
      <c r="S101" s="21">
        <v>46247</v>
      </c>
      <c r="T101" s="33">
        <v>46250</v>
      </c>
      <c r="U101" s="34">
        <v>33</v>
      </c>
      <c r="V101" s="35">
        <v>33</v>
      </c>
      <c r="W101" s="33">
        <v>46248</v>
      </c>
      <c r="X101" s="33">
        <v>46251</v>
      </c>
      <c r="Y101" s="36">
        <v>33</v>
      </c>
      <c r="Z101" s="36">
        <v>34</v>
      </c>
      <c r="AA101" s="25">
        <v>0</v>
      </c>
      <c r="AB101" s="37">
        <v>0.84615384615384615</v>
      </c>
      <c r="AC101" s="38">
        <v>0.84615384615384615</v>
      </c>
      <c r="AD101" s="39">
        <v>0</v>
      </c>
      <c r="AE101" s="39">
        <v>1676.18</v>
      </c>
      <c r="AF101" s="39">
        <v>0</v>
      </c>
      <c r="AG101" s="29">
        <v>11</v>
      </c>
      <c r="AH101" s="29">
        <v>11</v>
      </c>
      <c r="AI101" s="69">
        <v>0.84615384615384615</v>
      </c>
      <c r="AJ101" s="46">
        <v>1676.1799999999998</v>
      </c>
    </row>
    <row r="102" spans="2:36">
      <c r="B102" s="62" t="s">
        <v>389</v>
      </c>
      <c r="C102" s="14" t="s">
        <v>205</v>
      </c>
      <c r="D102" s="16" t="s">
        <v>205</v>
      </c>
      <c r="E102" s="16" t="s">
        <v>45</v>
      </c>
      <c r="F102" s="16" t="s">
        <v>57</v>
      </c>
      <c r="G102" s="2" t="s">
        <v>302</v>
      </c>
      <c r="H102" s="43" t="s">
        <v>149</v>
      </c>
      <c r="I102" s="16" t="s">
        <v>151</v>
      </c>
      <c r="J102" s="17" t="s">
        <v>92</v>
      </c>
      <c r="K102" s="17">
        <v>13</v>
      </c>
      <c r="L102" s="18">
        <v>2952.0080000000003</v>
      </c>
      <c r="M102" s="30">
        <v>3749.1280000000002</v>
      </c>
      <c r="N102" s="31">
        <v>6609.4</v>
      </c>
      <c r="O102" s="32">
        <v>38376.104000000007</v>
      </c>
      <c r="P102" s="32">
        <v>48738.664000000004</v>
      </c>
      <c r="Q102" s="32">
        <v>85922.2</v>
      </c>
      <c r="R102" s="47">
        <v>9</v>
      </c>
      <c r="S102" s="21">
        <v>46250</v>
      </c>
      <c r="T102" s="33">
        <v>46259</v>
      </c>
      <c r="U102" s="34">
        <v>33</v>
      </c>
      <c r="V102" s="35">
        <v>35</v>
      </c>
      <c r="W102" s="33">
        <v>46250</v>
      </c>
      <c r="X102" s="33">
        <v>46259</v>
      </c>
      <c r="Y102" s="36">
        <v>33</v>
      </c>
      <c r="Z102" s="36">
        <v>35</v>
      </c>
      <c r="AA102" s="25">
        <v>0</v>
      </c>
      <c r="AB102" s="37">
        <v>0.38461538461538464</v>
      </c>
      <c r="AC102" s="38">
        <v>0.38461538461538464</v>
      </c>
      <c r="AD102" s="39">
        <v>0</v>
      </c>
      <c r="AE102" s="39">
        <v>33047</v>
      </c>
      <c r="AF102" s="39">
        <v>0</v>
      </c>
      <c r="AG102" s="29">
        <v>5</v>
      </c>
      <c r="AH102" s="29">
        <v>5</v>
      </c>
      <c r="AI102" s="69">
        <v>0.38461538461538464</v>
      </c>
      <c r="AJ102" s="46">
        <v>33047</v>
      </c>
    </row>
    <row r="103" spans="2:36">
      <c r="B103" s="62" t="s">
        <v>389</v>
      </c>
      <c r="C103" s="14" t="s">
        <v>205</v>
      </c>
      <c r="D103" s="16" t="s">
        <v>205</v>
      </c>
      <c r="E103" s="16" t="s">
        <v>45</v>
      </c>
      <c r="F103" s="16" t="s">
        <v>57</v>
      </c>
      <c r="G103" s="2" t="s">
        <v>303</v>
      </c>
      <c r="H103" s="43" t="s">
        <v>158</v>
      </c>
      <c r="I103" s="16" t="s">
        <v>184</v>
      </c>
      <c r="J103" s="17" t="s">
        <v>92</v>
      </c>
      <c r="K103" s="17">
        <v>2</v>
      </c>
      <c r="L103" s="18">
        <v>3786.5839999999998</v>
      </c>
      <c r="M103" s="30">
        <v>4651.4039999999995</v>
      </c>
      <c r="N103" s="31">
        <v>8251.34</v>
      </c>
      <c r="O103" s="32">
        <v>7573.1679999999997</v>
      </c>
      <c r="P103" s="32">
        <v>9302.8079999999991</v>
      </c>
      <c r="Q103" s="32">
        <v>16502.68</v>
      </c>
      <c r="R103" s="47">
        <v>3</v>
      </c>
      <c r="S103" s="21">
        <v>46253</v>
      </c>
      <c r="T103" s="33">
        <v>46256</v>
      </c>
      <c r="U103" s="34">
        <v>34</v>
      </c>
      <c r="V103" s="35">
        <v>34</v>
      </c>
      <c r="W103" s="33">
        <v>46254</v>
      </c>
      <c r="X103" s="33">
        <v>46258</v>
      </c>
      <c r="Y103" s="36">
        <v>34</v>
      </c>
      <c r="Z103" s="36">
        <v>35</v>
      </c>
      <c r="AA103" s="25">
        <v>0</v>
      </c>
      <c r="AB103" s="37">
        <v>0.5</v>
      </c>
      <c r="AC103" s="38">
        <v>0.5</v>
      </c>
      <c r="AD103" s="39">
        <v>0</v>
      </c>
      <c r="AE103" s="39">
        <v>8251.34</v>
      </c>
      <c r="AF103" s="39">
        <v>0</v>
      </c>
      <c r="AG103" s="29">
        <v>1</v>
      </c>
      <c r="AH103" s="29">
        <v>1</v>
      </c>
      <c r="AI103" s="69">
        <v>0.5</v>
      </c>
      <c r="AJ103" s="46">
        <v>8251.34</v>
      </c>
    </row>
    <row r="104" spans="2:36">
      <c r="B104" s="62" t="s">
        <v>389</v>
      </c>
      <c r="C104" s="14" t="s">
        <v>205</v>
      </c>
      <c r="D104" s="16" t="s">
        <v>205</v>
      </c>
      <c r="E104" s="16" t="s">
        <v>45</v>
      </c>
      <c r="F104" s="16" t="s">
        <v>57</v>
      </c>
      <c r="G104" s="2" t="s">
        <v>304</v>
      </c>
      <c r="H104" s="43" t="s">
        <v>158</v>
      </c>
      <c r="I104" s="16" t="s">
        <v>185</v>
      </c>
      <c r="J104" s="17" t="s">
        <v>92</v>
      </c>
      <c r="K104" s="17">
        <v>1</v>
      </c>
      <c r="L104" s="18">
        <v>3786.5839999999998</v>
      </c>
      <c r="M104" s="30">
        <v>4651.4039999999995</v>
      </c>
      <c r="N104" s="31">
        <v>8251.34</v>
      </c>
      <c r="O104" s="32">
        <v>3786.5839999999998</v>
      </c>
      <c r="P104" s="32">
        <v>4651.4039999999995</v>
      </c>
      <c r="Q104" s="32">
        <v>8251.34</v>
      </c>
      <c r="R104" s="47">
        <v>7</v>
      </c>
      <c r="S104" s="21">
        <v>46255</v>
      </c>
      <c r="T104" s="33">
        <v>46262</v>
      </c>
      <c r="U104" s="34">
        <v>34</v>
      </c>
      <c r="V104" s="35">
        <v>35</v>
      </c>
      <c r="W104" s="33">
        <v>46256</v>
      </c>
      <c r="X104" s="33">
        <v>46264</v>
      </c>
      <c r="Y104" s="36">
        <v>34</v>
      </c>
      <c r="Z104" s="36">
        <v>35</v>
      </c>
      <c r="AA104" s="25">
        <v>0</v>
      </c>
      <c r="AB104" s="37">
        <v>0</v>
      </c>
      <c r="AC104" s="38">
        <v>0</v>
      </c>
      <c r="AD104" s="39">
        <v>0</v>
      </c>
      <c r="AE104" s="39">
        <v>0</v>
      </c>
      <c r="AF104" s="39">
        <v>0</v>
      </c>
      <c r="AG104" s="29">
        <v>0</v>
      </c>
      <c r="AH104" s="29">
        <v>0</v>
      </c>
      <c r="AI104" s="69">
        <v>0</v>
      </c>
      <c r="AJ104" s="46">
        <v>0</v>
      </c>
    </row>
    <row r="105" spans="2:36">
      <c r="B105" s="62" t="s">
        <v>389</v>
      </c>
      <c r="C105" s="14" t="s">
        <v>205</v>
      </c>
      <c r="D105" s="16" t="s">
        <v>205</v>
      </c>
      <c r="E105" s="16" t="s">
        <v>45</v>
      </c>
      <c r="F105" s="16" t="s">
        <v>57</v>
      </c>
      <c r="G105" s="2" t="s">
        <v>305</v>
      </c>
      <c r="H105" s="43" t="s">
        <v>158</v>
      </c>
      <c r="I105" s="16" t="s">
        <v>186</v>
      </c>
      <c r="J105" s="17" t="s">
        <v>92</v>
      </c>
      <c r="K105" s="17">
        <v>2</v>
      </c>
      <c r="L105" s="18">
        <v>3786.5839999999998</v>
      </c>
      <c r="M105" s="30">
        <v>4651.4039999999995</v>
      </c>
      <c r="N105" s="31">
        <v>8251.34</v>
      </c>
      <c r="O105" s="32">
        <v>7573.1679999999997</v>
      </c>
      <c r="P105" s="32">
        <v>9302.8079999999991</v>
      </c>
      <c r="Q105" s="32">
        <v>16502.68</v>
      </c>
      <c r="R105" s="47">
        <v>7</v>
      </c>
      <c r="S105" s="21">
        <v>46257</v>
      </c>
      <c r="T105" s="33">
        <v>46264</v>
      </c>
      <c r="U105" s="34">
        <v>34</v>
      </c>
      <c r="V105" s="35">
        <v>35</v>
      </c>
      <c r="W105" s="33">
        <v>46259</v>
      </c>
      <c r="X105" s="33">
        <v>46266</v>
      </c>
      <c r="Y105" s="36">
        <v>35</v>
      </c>
      <c r="Z105" s="36">
        <v>36</v>
      </c>
      <c r="AA105" s="25">
        <v>0</v>
      </c>
      <c r="AB105" s="37">
        <v>0</v>
      </c>
      <c r="AC105" s="38">
        <v>0</v>
      </c>
      <c r="AD105" s="39">
        <v>0</v>
      </c>
      <c r="AE105" s="39">
        <v>0</v>
      </c>
      <c r="AF105" s="39">
        <v>0</v>
      </c>
      <c r="AG105" s="29">
        <v>0</v>
      </c>
      <c r="AH105" s="29">
        <v>0</v>
      </c>
      <c r="AI105" s="69">
        <v>0</v>
      </c>
      <c r="AJ105" s="46">
        <v>0</v>
      </c>
    </row>
    <row r="106" spans="2:36">
      <c r="B106" s="62" t="s">
        <v>389</v>
      </c>
      <c r="C106" s="14" t="s">
        <v>205</v>
      </c>
      <c r="D106" s="16" t="s">
        <v>205</v>
      </c>
      <c r="E106" s="16" t="s">
        <v>75</v>
      </c>
      <c r="F106" s="16" t="s">
        <v>58</v>
      </c>
      <c r="G106" s="2" t="s">
        <v>306</v>
      </c>
      <c r="H106" s="43" t="s">
        <v>187</v>
      </c>
      <c r="I106" s="16" t="s">
        <v>144</v>
      </c>
      <c r="J106" s="17" t="s">
        <v>84</v>
      </c>
      <c r="K106" s="17">
        <v>1</v>
      </c>
      <c r="L106" s="18">
        <v>38155.184000000001</v>
      </c>
      <c r="M106" s="30">
        <v>377918.07520399999</v>
      </c>
      <c r="N106" s="31">
        <v>517512.12573500001</v>
      </c>
      <c r="O106" s="32">
        <v>38155.184000000001</v>
      </c>
      <c r="P106" s="32">
        <v>377918.07520399999</v>
      </c>
      <c r="Q106" s="32">
        <v>517512.12573500001</v>
      </c>
      <c r="R106" s="47">
        <v>7</v>
      </c>
      <c r="S106" s="21">
        <v>46260</v>
      </c>
      <c r="T106" s="33">
        <v>46267</v>
      </c>
      <c r="U106" s="34">
        <v>35</v>
      </c>
      <c r="V106" s="35">
        <v>36</v>
      </c>
      <c r="W106" s="33">
        <v>46260</v>
      </c>
      <c r="X106" s="33">
        <v>46268</v>
      </c>
      <c r="Y106" s="36">
        <v>35</v>
      </c>
      <c r="Z106" s="36">
        <v>36</v>
      </c>
      <c r="AA106" s="25">
        <v>0</v>
      </c>
      <c r="AB106" s="37">
        <v>0</v>
      </c>
      <c r="AC106" s="38">
        <v>0</v>
      </c>
      <c r="AD106" s="39">
        <v>0</v>
      </c>
      <c r="AE106" s="39">
        <v>0</v>
      </c>
      <c r="AF106" s="39">
        <v>0</v>
      </c>
      <c r="AG106" s="29">
        <v>0</v>
      </c>
      <c r="AH106" s="29">
        <v>0</v>
      </c>
      <c r="AI106" s="69">
        <v>0</v>
      </c>
      <c r="AJ106" s="46">
        <v>0</v>
      </c>
    </row>
    <row r="107" spans="2:36">
      <c r="B107" s="62" t="s">
        <v>389</v>
      </c>
      <c r="C107" s="14" t="s">
        <v>205</v>
      </c>
      <c r="D107" s="16" t="s">
        <v>205</v>
      </c>
      <c r="E107" s="16" t="s">
        <v>45</v>
      </c>
      <c r="F107" s="16" t="s">
        <v>76</v>
      </c>
      <c r="G107" s="2" t="s">
        <v>307</v>
      </c>
      <c r="H107" s="43" t="s">
        <v>160</v>
      </c>
      <c r="I107" s="16" t="s">
        <v>188</v>
      </c>
      <c r="J107" s="17" t="s">
        <v>92</v>
      </c>
      <c r="K107" s="17">
        <v>2</v>
      </c>
      <c r="L107" s="18">
        <v>2464</v>
      </c>
      <c r="M107" s="30">
        <v>8662.58</v>
      </c>
      <c r="N107" s="31">
        <v>13470.86</v>
      </c>
      <c r="O107" s="32">
        <v>4928</v>
      </c>
      <c r="P107" s="32">
        <v>17325.16</v>
      </c>
      <c r="Q107" s="32">
        <v>26941.72</v>
      </c>
      <c r="R107" s="47">
        <v>7</v>
      </c>
      <c r="S107" s="21">
        <v>46261</v>
      </c>
      <c r="T107" s="33">
        <v>46268</v>
      </c>
      <c r="U107" s="34">
        <v>35</v>
      </c>
      <c r="V107" s="35">
        <v>36</v>
      </c>
      <c r="W107" s="33">
        <v>46263</v>
      </c>
      <c r="X107" s="33">
        <v>46271</v>
      </c>
      <c r="Y107" s="36">
        <v>35</v>
      </c>
      <c r="Z107" s="36">
        <v>36</v>
      </c>
      <c r="AA107" s="25">
        <v>0</v>
      </c>
      <c r="AB107" s="37">
        <v>0</v>
      </c>
      <c r="AC107" s="38">
        <v>0</v>
      </c>
      <c r="AD107" s="39">
        <v>0</v>
      </c>
      <c r="AE107" s="39">
        <v>0</v>
      </c>
      <c r="AF107" s="39">
        <v>0</v>
      </c>
      <c r="AG107" s="29">
        <v>0</v>
      </c>
      <c r="AH107" s="29">
        <v>0</v>
      </c>
      <c r="AI107" s="69">
        <v>0</v>
      </c>
      <c r="AJ107" s="46">
        <v>0</v>
      </c>
    </row>
    <row r="108" spans="2:36">
      <c r="B108" s="62" t="s">
        <v>389</v>
      </c>
      <c r="C108" s="14" t="s">
        <v>205</v>
      </c>
      <c r="D108" s="16" t="s">
        <v>205</v>
      </c>
      <c r="E108" s="16" t="s">
        <v>45</v>
      </c>
      <c r="F108" s="16" t="s">
        <v>47</v>
      </c>
      <c r="G108" s="2" t="s">
        <v>308</v>
      </c>
      <c r="H108" s="43" t="s">
        <v>73</v>
      </c>
      <c r="I108" s="16" t="s">
        <v>189</v>
      </c>
      <c r="J108" s="17" t="s">
        <v>92</v>
      </c>
      <c r="K108" s="17">
        <v>2</v>
      </c>
      <c r="L108" s="18">
        <v>1859.992</v>
      </c>
      <c r="M108" s="30">
        <v>2791.922</v>
      </c>
      <c r="N108" s="31">
        <v>4782.1899999999996</v>
      </c>
      <c r="O108" s="32">
        <v>3719.9839999999999</v>
      </c>
      <c r="P108" s="32">
        <v>5583.8440000000001</v>
      </c>
      <c r="Q108" s="32">
        <v>9564.3799999999992</v>
      </c>
      <c r="R108" s="47">
        <v>9</v>
      </c>
      <c r="S108" s="21">
        <v>46264</v>
      </c>
      <c r="T108" s="33">
        <v>46273</v>
      </c>
      <c r="U108" s="34">
        <v>35</v>
      </c>
      <c r="V108" s="35">
        <v>37</v>
      </c>
      <c r="W108" s="33">
        <v>46265</v>
      </c>
      <c r="X108" s="33">
        <v>46276</v>
      </c>
      <c r="Y108" s="36">
        <v>36</v>
      </c>
      <c r="Z108" s="36">
        <v>37</v>
      </c>
      <c r="AA108" s="25">
        <v>0</v>
      </c>
      <c r="AB108" s="37">
        <v>0</v>
      </c>
      <c r="AC108" s="38">
        <v>0</v>
      </c>
      <c r="AD108" s="39">
        <v>0</v>
      </c>
      <c r="AE108" s="39">
        <v>0</v>
      </c>
      <c r="AF108" s="39">
        <v>0</v>
      </c>
      <c r="AG108" s="29">
        <v>0</v>
      </c>
      <c r="AH108" s="29">
        <v>0</v>
      </c>
      <c r="AI108" s="69">
        <v>0</v>
      </c>
      <c r="AJ108" s="46">
        <v>0</v>
      </c>
    </row>
    <row r="109" spans="2:36">
      <c r="B109" s="62" t="s">
        <v>389</v>
      </c>
      <c r="C109" s="14" t="s">
        <v>206</v>
      </c>
      <c r="D109" s="16" t="s">
        <v>206</v>
      </c>
      <c r="E109" s="16" t="s">
        <v>53</v>
      </c>
      <c r="F109" s="16" t="s">
        <v>55</v>
      </c>
      <c r="G109" s="2" t="s">
        <v>309</v>
      </c>
      <c r="H109" s="43" t="s">
        <v>62</v>
      </c>
      <c r="I109" s="16" t="s">
        <v>78</v>
      </c>
      <c r="J109" s="17" t="s">
        <v>79</v>
      </c>
      <c r="K109" s="17">
        <v>15</v>
      </c>
      <c r="L109" s="18">
        <v>30.408000000000001</v>
      </c>
      <c r="M109" s="30">
        <v>93.408000000000001</v>
      </c>
      <c r="N109" s="31">
        <v>146.83000000000001</v>
      </c>
      <c r="O109" s="32">
        <v>456.12</v>
      </c>
      <c r="P109" s="32">
        <v>1401.1200000000001</v>
      </c>
      <c r="Q109" s="32">
        <v>2202.4500000000003</v>
      </c>
      <c r="R109" s="47">
        <v>9</v>
      </c>
      <c r="S109" s="21">
        <v>46266</v>
      </c>
      <c r="T109" s="33">
        <v>46275</v>
      </c>
      <c r="U109" s="34">
        <v>36</v>
      </c>
      <c r="V109" s="35">
        <v>37</v>
      </c>
      <c r="W109" s="33">
        <v>46266</v>
      </c>
      <c r="X109" s="33">
        <v>46276</v>
      </c>
      <c r="Y109" s="36">
        <v>36</v>
      </c>
      <c r="Z109" s="36">
        <v>37</v>
      </c>
      <c r="AA109" s="25">
        <v>0</v>
      </c>
      <c r="AB109" s="37">
        <v>0.2</v>
      </c>
      <c r="AC109" s="38">
        <v>0.2</v>
      </c>
      <c r="AD109" s="39">
        <v>0</v>
      </c>
      <c r="AE109" s="39">
        <v>440.49000000000007</v>
      </c>
      <c r="AF109" s="39">
        <v>0</v>
      </c>
      <c r="AG109" s="29">
        <v>3</v>
      </c>
      <c r="AH109" s="29">
        <v>3</v>
      </c>
      <c r="AI109" s="69">
        <v>0.2</v>
      </c>
      <c r="AJ109" s="46">
        <v>440.49</v>
      </c>
    </row>
    <row r="110" spans="2:36">
      <c r="B110" s="62" t="s">
        <v>389</v>
      </c>
      <c r="C110" s="14" t="s">
        <v>206</v>
      </c>
      <c r="D110" s="16" t="s">
        <v>206</v>
      </c>
      <c r="E110" s="16" t="s">
        <v>53</v>
      </c>
      <c r="F110" s="16" t="s">
        <v>55</v>
      </c>
      <c r="G110" s="2" t="s">
        <v>310</v>
      </c>
      <c r="H110" s="43" t="s">
        <v>60</v>
      </c>
      <c r="I110" s="16" t="s">
        <v>80</v>
      </c>
      <c r="J110" s="17" t="s">
        <v>79</v>
      </c>
      <c r="K110" s="17">
        <v>66</v>
      </c>
      <c r="L110" s="18">
        <v>30.408000000000001</v>
      </c>
      <c r="M110" s="30">
        <v>107.27800000000001</v>
      </c>
      <c r="N110" s="31">
        <v>166.76</v>
      </c>
      <c r="O110" s="32">
        <v>2006.9280000000001</v>
      </c>
      <c r="P110" s="32">
        <v>7080.348</v>
      </c>
      <c r="Q110" s="32">
        <v>11006.16</v>
      </c>
      <c r="R110" s="47">
        <v>8</v>
      </c>
      <c r="S110" s="21">
        <v>46267</v>
      </c>
      <c r="T110" s="33">
        <v>46275</v>
      </c>
      <c r="U110" s="34">
        <v>36</v>
      </c>
      <c r="V110" s="35">
        <v>37</v>
      </c>
      <c r="W110" s="33">
        <v>46268</v>
      </c>
      <c r="X110" s="33">
        <v>46277</v>
      </c>
      <c r="Y110" s="36">
        <v>36</v>
      </c>
      <c r="Z110" s="36">
        <v>37</v>
      </c>
      <c r="AA110" s="25">
        <v>0</v>
      </c>
      <c r="AB110" s="37">
        <v>0.71212121212121215</v>
      </c>
      <c r="AC110" s="38">
        <v>0.71212121212121215</v>
      </c>
      <c r="AD110" s="39">
        <v>0</v>
      </c>
      <c r="AE110" s="39">
        <v>7837.72</v>
      </c>
      <c r="AF110" s="39">
        <v>0</v>
      </c>
      <c r="AG110" s="29">
        <v>47</v>
      </c>
      <c r="AH110" s="29">
        <v>47</v>
      </c>
      <c r="AI110" s="69">
        <v>0.71212121212121215</v>
      </c>
      <c r="AJ110" s="46">
        <v>7837.7199999999993</v>
      </c>
    </row>
    <row r="111" spans="2:36">
      <c r="B111" s="62" t="s">
        <v>389</v>
      </c>
      <c r="C111" s="14" t="s">
        <v>206</v>
      </c>
      <c r="D111" s="16" t="s">
        <v>206</v>
      </c>
      <c r="E111" s="16" t="s">
        <v>53</v>
      </c>
      <c r="F111" s="16" t="s">
        <v>55</v>
      </c>
      <c r="G111" s="2" t="s">
        <v>311</v>
      </c>
      <c r="H111" s="43" t="s">
        <v>61</v>
      </c>
      <c r="I111" s="16" t="s">
        <v>81</v>
      </c>
      <c r="J111" s="17" t="s">
        <v>79</v>
      </c>
      <c r="K111" s="17">
        <v>33</v>
      </c>
      <c r="L111" s="18">
        <v>30.408000000000001</v>
      </c>
      <c r="M111" s="30">
        <v>114.318</v>
      </c>
      <c r="N111" s="31">
        <v>176.88</v>
      </c>
      <c r="O111" s="32">
        <v>1003.4640000000001</v>
      </c>
      <c r="P111" s="32">
        <v>3772.4940000000001</v>
      </c>
      <c r="Q111" s="32">
        <v>5837.04</v>
      </c>
      <c r="R111" s="47">
        <v>10</v>
      </c>
      <c r="S111" s="21">
        <v>46268</v>
      </c>
      <c r="T111" s="33">
        <v>46278</v>
      </c>
      <c r="U111" s="34">
        <v>36</v>
      </c>
      <c r="V111" s="35">
        <v>37</v>
      </c>
      <c r="W111" s="33">
        <v>46270</v>
      </c>
      <c r="X111" s="33">
        <v>46282</v>
      </c>
      <c r="Y111" s="36">
        <v>36</v>
      </c>
      <c r="Z111" s="36">
        <v>38</v>
      </c>
      <c r="AA111" s="25">
        <v>0</v>
      </c>
      <c r="AB111" s="37">
        <v>0.39393939393939392</v>
      </c>
      <c r="AC111" s="38">
        <v>0.39393939393939392</v>
      </c>
      <c r="AD111" s="39">
        <v>0</v>
      </c>
      <c r="AE111" s="39">
        <v>2299.44</v>
      </c>
      <c r="AF111" s="39">
        <v>0</v>
      </c>
      <c r="AG111" s="29">
        <v>13</v>
      </c>
      <c r="AH111" s="29">
        <v>13</v>
      </c>
      <c r="AI111" s="69">
        <v>0.39393939393939392</v>
      </c>
      <c r="AJ111" s="46">
        <v>2299.44</v>
      </c>
    </row>
    <row r="112" spans="2:36">
      <c r="B112" s="62" t="s">
        <v>389</v>
      </c>
      <c r="C112" s="14" t="s">
        <v>206</v>
      </c>
      <c r="D112" s="16" t="s">
        <v>206</v>
      </c>
      <c r="E112" s="16" t="s">
        <v>58</v>
      </c>
      <c r="F112" s="16" t="s">
        <v>208</v>
      </c>
      <c r="G112" s="2" t="s">
        <v>312</v>
      </c>
      <c r="H112" s="43" t="s">
        <v>190</v>
      </c>
      <c r="I112" s="16" t="s">
        <v>83</v>
      </c>
      <c r="J112" s="17" t="s">
        <v>84</v>
      </c>
      <c r="K112" s="17">
        <v>1</v>
      </c>
      <c r="L112" s="18">
        <v>12718.392</v>
      </c>
      <c r="M112" s="30">
        <v>13195.332</v>
      </c>
      <c r="N112" s="31">
        <v>24224.58</v>
      </c>
      <c r="O112" s="32">
        <v>12718.392</v>
      </c>
      <c r="P112" s="32">
        <v>13195.332</v>
      </c>
      <c r="Q112" s="32">
        <v>24224.58</v>
      </c>
      <c r="R112" s="47">
        <v>7</v>
      </c>
      <c r="S112" s="21">
        <v>46269</v>
      </c>
      <c r="T112" s="33">
        <v>46276</v>
      </c>
      <c r="U112" s="34">
        <v>36</v>
      </c>
      <c r="V112" s="35">
        <v>37</v>
      </c>
      <c r="W112" s="33">
        <v>46271</v>
      </c>
      <c r="X112" s="33">
        <v>46280</v>
      </c>
      <c r="Y112" s="36">
        <v>36</v>
      </c>
      <c r="Z112" s="36">
        <v>38</v>
      </c>
      <c r="AA112" s="25">
        <v>0</v>
      </c>
      <c r="AB112" s="37">
        <v>1</v>
      </c>
      <c r="AC112" s="38">
        <v>1</v>
      </c>
      <c r="AD112" s="39">
        <v>0</v>
      </c>
      <c r="AE112" s="39">
        <v>24224.58</v>
      </c>
      <c r="AF112" s="39">
        <v>0</v>
      </c>
      <c r="AG112" s="29">
        <v>1</v>
      </c>
      <c r="AH112" s="29">
        <v>1</v>
      </c>
      <c r="AI112" s="69">
        <v>1</v>
      </c>
      <c r="AJ112" s="46">
        <v>24224.58</v>
      </c>
    </row>
    <row r="113" spans="2:36">
      <c r="B113" s="62" t="s">
        <v>389</v>
      </c>
      <c r="C113" s="14" t="s">
        <v>206</v>
      </c>
      <c r="D113" s="16" t="s">
        <v>206</v>
      </c>
      <c r="E113" s="16" t="s">
        <v>53</v>
      </c>
      <c r="F113" s="16" t="s">
        <v>56</v>
      </c>
      <c r="G113" s="2" t="s">
        <v>313</v>
      </c>
      <c r="H113" s="43" t="s">
        <v>191</v>
      </c>
      <c r="I113" s="16" t="s">
        <v>86</v>
      </c>
      <c r="J113" s="17" t="s">
        <v>84</v>
      </c>
      <c r="K113" s="17">
        <v>1</v>
      </c>
      <c r="L113" s="18">
        <v>0</v>
      </c>
      <c r="M113" s="30">
        <v>28</v>
      </c>
      <c r="N113" s="31">
        <v>40.25</v>
      </c>
      <c r="O113" s="32">
        <v>0</v>
      </c>
      <c r="P113" s="32">
        <v>28</v>
      </c>
      <c r="Q113" s="32">
        <v>40.25</v>
      </c>
      <c r="R113" s="47">
        <v>4</v>
      </c>
      <c r="S113" s="21">
        <v>46270</v>
      </c>
      <c r="T113" s="33">
        <v>46274</v>
      </c>
      <c r="U113" s="34">
        <v>36</v>
      </c>
      <c r="V113" s="35">
        <v>37</v>
      </c>
      <c r="W113" s="33">
        <v>46270</v>
      </c>
      <c r="X113" s="33">
        <v>46276</v>
      </c>
      <c r="Y113" s="36">
        <v>36</v>
      </c>
      <c r="Z113" s="36">
        <v>37</v>
      </c>
      <c r="AA113" s="25">
        <v>0</v>
      </c>
      <c r="AB113" s="37">
        <v>1</v>
      </c>
      <c r="AC113" s="38">
        <v>1</v>
      </c>
      <c r="AD113" s="39">
        <v>0</v>
      </c>
      <c r="AE113" s="39">
        <v>40.25</v>
      </c>
      <c r="AF113" s="39">
        <v>0</v>
      </c>
      <c r="AG113" s="29">
        <v>1</v>
      </c>
      <c r="AH113" s="29">
        <v>1</v>
      </c>
      <c r="AI113" s="69">
        <v>1</v>
      </c>
      <c r="AJ113" s="46">
        <v>40.25</v>
      </c>
    </row>
    <row r="114" spans="2:36">
      <c r="B114" s="62" t="s">
        <v>389</v>
      </c>
      <c r="C114" s="14" t="s">
        <v>206</v>
      </c>
      <c r="D114" s="16" t="s">
        <v>206</v>
      </c>
      <c r="E114" s="16" t="s">
        <v>53</v>
      </c>
      <c r="F114" s="16" t="s">
        <v>54</v>
      </c>
      <c r="G114" s="2" t="s">
        <v>314</v>
      </c>
      <c r="H114" s="43" t="s">
        <v>192</v>
      </c>
      <c r="I114" s="16" t="s">
        <v>88</v>
      </c>
      <c r="J114" s="17" t="s">
        <v>59</v>
      </c>
      <c r="K114" s="17">
        <v>762.45</v>
      </c>
      <c r="L114" s="18">
        <v>213.24</v>
      </c>
      <c r="M114" s="30">
        <v>569.37390600000003</v>
      </c>
      <c r="N114" s="31">
        <v>851.07297300000005</v>
      </c>
      <c r="O114" s="32">
        <v>162584.83800000002</v>
      </c>
      <c r="P114" s="32">
        <v>434119.13462970004</v>
      </c>
      <c r="Q114" s="32">
        <v>648900.58826385008</v>
      </c>
      <c r="R114" s="47">
        <v>6</v>
      </c>
      <c r="S114" s="21">
        <v>46271</v>
      </c>
      <c r="T114" s="33">
        <v>46277</v>
      </c>
      <c r="U114" s="34">
        <v>36</v>
      </c>
      <c r="V114" s="35">
        <v>37</v>
      </c>
      <c r="W114" s="33">
        <v>46271</v>
      </c>
      <c r="X114" s="33">
        <v>46278</v>
      </c>
      <c r="Y114" s="36">
        <v>36</v>
      </c>
      <c r="Z114" s="36">
        <v>37</v>
      </c>
      <c r="AA114" s="25">
        <v>0</v>
      </c>
      <c r="AB114" s="37">
        <v>0.73185126893566788</v>
      </c>
      <c r="AC114" s="38">
        <v>0.73185126893566788</v>
      </c>
      <c r="AD114" s="39">
        <v>0</v>
      </c>
      <c r="AE114" s="39">
        <v>474898.718934</v>
      </c>
      <c r="AF114" s="39">
        <v>0</v>
      </c>
      <c r="AG114" s="29">
        <v>558</v>
      </c>
      <c r="AH114" s="29">
        <v>558</v>
      </c>
      <c r="AI114" s="69">
        <v>0.73185126893566788</v>
      </c>
      <c r="AJ114" s="46">
        <v>474898.718934</v>
      </c>
    </row>
    <row r="115" spans="2:36">
      <c r="B115" s="62" t="s">
        <v>389</v>
      </c>
      <c r="C115" s="14" t="s">
        <v>206</v>
      </c>
      <c r="D115" s="16" t="s">
        <v>206</v>
      </c>
      <c r="E115" s="16" t="s">
        <v>53</v>
      </c>
      <c r="F115" s="16" t="s">
        <v>55</v>
      </c>
      <c r="G115" s="2" t="s">
        <v>315</v>
      </c>
      <c r="H115" s="43" t="s">
        <v>193</v>
      </c>
      <c r="I115" s="16" t="s">
        <v>90</v>
      </c>
      <c r="J115" s="17" t="s">
        <v>84</v>
      </c>
      <c r="K115" s="17">
        <v>1</v>
      </c>
      <c r="L115" s="18">
        <v>0</v>
      </c>
      <c r="M115" s="30">
        <v>38884.949999999997</v>
      </c>
      <c r="N115" s="31">
        <v>55897.120000000003</v>
      </c>
      <c r="O115" s="32">
        <v>0</v>
      </c>
      <c r="P115" s="32">
        <v>38884.949999999997</v>
      </c>
      <c r="Q115" s="32">
        <v>55897.120000000003</v>
      </c>
      <c r="R115" s="47">
        <v>9</v>
      </c>
      <c r="S115" s="21">
        <v>46274</v>
      </c>
      <c r="T115" s="33">
        <v>46283</v>
      </c>
      <c r="U115" s="34">
        <v>37</v>
      </c>
      <c r="V115" s="35">
        <v>38</v>
      </c>
      <c r="W115" s="33">
        <v>46276</v>
      </c>
      <c r="X115" s="33">
        <v>46285</v>
      </c>
      <c r="Y115" s="36">
        <v>37</v>
      </c>
      <c r="Z115" s="36">
        <v>38</v>
      </c>
      <c r="AA115" s="25">
        <v>0</v>
      </c>
      <c r="AB115" s="37">
        <v>1</v>
      </c>
      <c r="AC115" s="38">
        <v>1</v>
      </c>
      <c r="AD115" s="39">
        <v>0</v>
      </c>
      <c r="AE115" s="39">
        <v>55897.120000000003</v>
      </c>
      <c r="AF115" s="39">
        <v>0</v>
      </c>
      <c r="AG115" s="29">
        <v>1</v>
      </c>
      <c r="AH115" s="29">
        <v>1</v>
      </c>
      <c r="AI115" s="69">
        <v>1</v>
      </c>
      <c r="AJ115" s="46">
        <v>55897.120000000003</v>
      </c>
    </row>
    <row r="116" spans="2:36">
      <c r="B116" s="62" t="s">
        <v>389</v>
      </c>
      <c r="C116" s="14" t="s">
        <v>206</v>
      </c>
      <c r="D116" s="16" t="s">
        <v>206</v>
      </c>
      <c r="E116" s="16" t="s">
        <v>53</v>
      </c>
      <c r="F116" s="16" t="s">
        <v>56</v>
      </c>
      <c r="G116" s="2" t="s">
        <v>316</v>
      </c>
      <c r="H116" s="43" t="s">
        <v>65</v>
      </c>
      <c r="I116" s="16" t="s">
        <v>91</v>
      </c>
      <c r="J116" s="17" t="s">
        <v>92</v>
      </c>
      <c r="K116" s="17">
        <v>4</v>
      </c>
      <c r="L116" s="18">
        <v>256</v>
      </c>
      <c r="M116" s="30">
        <v>1256</v>
      </c>
      <c r="N116" s="31">
        <v>1911.3</v>
      </c>
      <c r="O116" s="32">
        <v>1024</v>
      </c>
      <c r="P116" s="32">
        <v>5024</v>
      </c>
      <c r="Q116" s="32">
        <v>7645.2</v>
      </c>
      <c r="R116" s="47">
        <v>6</v>
      </c>
      <c r="S116" s="21">
        <v>46277</v>
      </c>
      <c r="T116" s="33">
        <v>46283</v>
      </c>
      <c r="U116" s="34">
        <v>37</v>
      </c>
      <c r="V116" s="35">
        <v>38</v>
      </c>
      <c r="W116" s="33">
        <v>46278</v>
      </c>
      <c r="X116" s="33">
        <v>46284</v>
      </c>
      <c r="Y116" s="36">
        <v>37</v>
      </c>
      <c r="Z116" s="36">
        <v>38</v>
      </c>
      <c r="AA116" s="25">
        <v>0</v>
      </c>
      <c r="AB116" s="37">
        <v>0</v>
      </c>
      <c r="AC116" s="38">
        <v>0</v>
      </c>
      <c r="AD116" s="39">
        <v>0</v>
      </c>
      <c r="AE116" s="39">
        <v>0</v>
      </c>
      <c r="AF116" s="39">
        <v>0</v>
      </c>
      <c r="AG116" s="29">
        <v>0</v>
      </c>
      <c r="AH116" s="29">
        <v>0</v>
      </c>
      <c r="AI116" s="69">
        <v>0</v>
      </c>
      <c r="AJ116" s="46">
        <v>0</v>
      </c>
    </row>
    <row r="117" spans="2:36">
      <c r="B117" s="62" t="s">
        <v>389</v>
      </c>
      <c r="C117" s="14" t="s">
        <v>206</v>
      </c>
      <c r="D117" s="16" t="s">
        <v>206</v>
      </c>
      <c r="E117" s="16" t="s">
        <v>53</v>
      </c>
      <c r="F117" s="16" t="s">
        <v>56</v>
      </c>
      <c r="G117" s="2" t="s">
        <v>317</v>
      </c>
      <c r="H117" s="43" t="s">
        <v>64</v>
      </c>
      <c r="I117" s="16" t="s">
        <v>93</v>
      </c>
      <c r="J117" s="17" t="s">
        <v>92</v>
      </c>
      <c r="K117" s="17">
        <v>11</v>
      </c>
      <c r="L117" s="18">
        <v>256</v>
      </c>
      <c r="M117" s="30">
        <v>1256</v>
      </c>
      <c r="N117" s="31">
        <v>1911.3</v>
      </c>
      <c r="O117" s="32">
        <v>2816</v>
      </c>
      <c r="P117" s="32">
        <v>13816</v>
      </c>
      <c r="Q117" s="32">
        <v>21024.3</v>
      </c>
      <c r="R117" s="47">
        <v>9</v>
      </c>
      <c r="S117" s="21">
        <v>46279</v>
      </c>
      <c r="T117" s="33">
        <v>46288</v>
      </c>
      <c r="U117" s="34">
        <v>38</v>
      </c>
      <c r="V117" s="35">
        <v>39</v>
      </c>
      <c r="W117" s="33">
        <v>46281</v>
      </c>
      <c r="X117" s="33">
        <v>46292</v>
      </c>
      <c r="Y117" s="36">
        <v>38</v>
      </c>
      <c r="Z117" s="36">
        <v>39</v>
      </c>
      <c r="AA117" s="25">
        <v>0</v>
      </c>
      <c r="AB117" s="37">
        <v>1</v>
      </c>
      <c r="AC117" s="38">
        <v>1</v>
      </c>
      <c r="AD117" s="39">
        <v>0</v>
      </c>
      <c r="AE117" s="39">
        <v>21024.3</v>
      </c>
      <c r="AF117" s="39">
        <v>0</v>
      </c>
      <c r="AG117" s="29">
        <v>11</v>
      </c>
      <c r="AH117" s="29">
        <v>11</v>
      </c>
      <c r="AI117" s="69">
        <v>1</v>
      </c>
      <c r="AJ117" s="46">
        <v>21024.3</v>
      </c>
    </row>
    <row r="118" spans="2:36">
      <c r="B118" s="62" t="s">
        <v>389</v>
      </c>
      <c r="C118" s="14" t="s">
        <v>206</v>
      </c>
      <c r="D118" s="16" t="s">
        <v>206</v>
      </c>
      <c r="E118" s="16" t="s">
        <v>53</v>
      </c>
      <c r="F118" s="16" t="s">
        <v>56</v>
      </c>
      <c r="G118" s="2" t="s">
        <v>318</v>
      </c>
      <c r="H118" s="43" t="s">
        <v>67</v>
      </c>
      <c r="I118" s="16" t="s">
        <v>94</v>
      </c>
      <c r="J118" s="17" t="s">
        <v>92</v>
      </c>
      <c r="K118" s="17">
        <v>2</v>
      </c>
      <c r="L118" s="18">
        <v>256</v>
      </c>
      <c r="M118" s="30">
        <v>1256</v>
      </c>
      <c r="N118" s="31">
        <v>1911.3</v>
      </c>
      <c r="O118" s="32">
        <v>512</v>
      </c>
      <c r="P118" s="32">
        <v>2512</v>
      </c>
      <c r="Q118" s="32">
        <v>3822.6</v>
      </c>
      <c r="R118" s="47">
        <v>9</v>
      </c>
      <c r="S118" s="21">
        <v>46282</v>
      </c>
      <c r="T118" s="33">
        <v>46291</v>
      </c>
      <c r="U118" s="34">
        <v>38</v>
      </c>
      <c r="V118" s="35">
        <v>39</v>
      </c>
      <c r="W118" s="33">
        <v>46284</v>
      </c>
      <c r="X118" s="33">
        <v>46294</v>
      </c>
      <c r="Y118" s="36">
        <v>38</v>
      </c>
      <c r="Z118" s="36">
        <v>40</v>
      </c>
      <c r="AA118" s="25">
        <v>0</v>
      </c>
      <c r="AB118" s="37">
        <v>1</v>
      </c>
      <c r="AC118" s="38">
        <v>1</v>
      </c>
      <c r="AD118" s="39">
        <v>0</v>
      </c>
      <c r="AE118" s="39">
        <v>3822.6</v>
      </c>
      <c r="AF118" s="39">
        <v>0</v>
      </c>
      <c r="AG118" s="29">
        <v>2</v>
      </c>
      <c r="AH118" s="29">
        <v>2</v>
      </c>
      <c r="AI118" s="69">
        <v>1</v>
      </c>
      <c r="AJ118" s="46">
        <v>3822.6</v>
      </c>
    </row>
    <row r="119" spans="2:36">
      <c r="B119" s="62" t="s">
        <v>389</v>
      </c>
      <c r="C119" s="14" t="s">
        <v>206</v>
      </c>
      <c r="D119" s="16" t="s">
        <v>206</v>
      </c>
      <c r="E119" s="16" t="s">
        <v>53</v>
      </c>
      <c r="F119" s="16" t="s">
        <v>56</v>
      </c>
      <c r="G119" s="2" t="s">
        <v>319</v>
      </c>
      <c r="H119" s="43" t="s">
        <v>65</v>
      </c>
      <c r="I119" s="16" t="s">
        <v>95</v>
      </c>
      <c r="J119" s="17" t="s">
        <v>92</v>
      </c>
      <c r="K119" s="17">
        <v>5</v>
      </c>
      <c r="L119" s="18">
        <v>256</v>
      </c>
      <c r="M119" s="30">
        <v>1256</v>
      </c>
      <c r="N119" s="31">
        <v>1911.3</v>
      </c>
      <c r="O119" s="32">
        <v>1280</v>
      </c>
      <c r="P119" s="32">
        <v>6280</v>
      </c>
      <c r="Q119" s="32">
        <v>9556.5</v>
      </c>
      <c r="R119" s="47">
        <v>2</v>
      </c>
      <c r="S119" s="21">
        <v>46283</v>
      </c>
      <c r="T119" s="33">
        <v>46285</v>
      </c>
      <c r="U119" s="34">
        <v>38</v>
      </c>
      <c r="V119" s="35">
        <v>38</v>
      </c>
      <c r="W119" s="33">
        <v>46283</v>
      </c>
      <c r="X119" s="33">
        <v>46285</v>
      </c>
      <c r="Y119" s="36">
        <v>38</v>
      </c>
      <c r="Z119" s="36">
        <v>38</v>
      </c>
      <c r="AA119" s="25">
        <v>0</v>
      </c>
      <c r="AB119" s="37">
        <v>0.6</v>
      </c>
      <c r="AC119" s="38">
        <v>0.6</v>
      </c>
      <c r="AD119" s="39">
        <v>0</v>
      </c>
      <c r="AE119" s="39">
        <v>5733.9</v>
      </c>
      <c r="AF119" s="39">
        <v>0</v>
      </c>
      <c r="AG119" s="29">
        <v>3</v>
      </c>
      <c r="AH119" s="29">
        <v>3</v>
      </c>
      <c r="AI119" s="69">
        <v>0.6</v>
      </c>
      <c r="AJ119" s="46">
        <v>5733.9</v>
      </c>
    </row>
    <row r="120" spans="2:36">
      <c r="B120" s="62" t="s">
        <v>389</v>
      </c>
      <c r="C120" s="14" t="s">
        <v>206</v>
      </c>
      <c r="D120" s="16" t="s">
        <v>206</v>
      </c>
      <c r="E120" s="16" t="s">
        <v>53</v>
      </c>
      <c r="F120" s="16" t="s">
        <v>56</v>
      </c>
      <c r="G120" s="2" t="s">
        <v>320</v>
      </c>
      <c r="H120" s="43" t="s">
        <v>64</v>
      </c>
      <c r="I120" s="16" t="s">
        <v>96</v>
      </c>
      <c r="J120" s="17" t="s">
        <v>92</v>
      </c>
      <c r="K120" s="17">
        <v>9</v>
      </c>
      <c r="L120" s="18">
        <v>256</v>
      </c>
      <c r="M120" s="30">
        <v>1256</v>
      </c>
      <c r="N120" s="31">
        <v>1911.3</v>
      </c>
      <c r="O120" s="32">
        <v>2304</v>
      </c>
      <c r="P120" s="32">
        <v>11304</v>
      </c>
      <c r="Q120" s="32">
        <v>17201.7</v>
      </c>
      <c r="R120" s="47">
        <v>4</v>
      </c>
      <c r="S120" s="21">
        <v>46285</v>
      </c>
      <c r="T120" s="33">
        <v>46289</v>
      </c>
      <c r="U120" s="34">
        <v>38</v>
      </c>
      <c r="V120" s="35">
        <v>39</v>
      </c>
      <c r="W120" s="33">
        <v>46285</v>
      </c>
      <c r="X120" s="33">
        <v>46290</v>
      </c>
      <c r="Y120" s="36">
        <v>38</v>
      </c>
      <c r="Z120" s="36">
        <v>39</v>
      </c>
      <c r="AA120" s="25">
        <v>0</v>
      </c>
      <c r="AB120" s="37">
        <v>0.44444444444444442</v>
      </c>
      <c r="AC120" s="38">
        <v>0.44444444444444442</v>
      </c>
      <c r="AD120" s="39">
        <v>0</v>
      </c>
      <c r="AE120" s="39">
        <v>7645.2</v>
      </c>
      <c r="AF120" s="39">
        <v>0</v>
      </c>
      <c r="AG120" s="29">
        <v>4</v>
      </c>
      <c r="AH120" s="29">
        <v>4</v>
      </c>
      <c r="AI120" s="69">
        <v>0.44444444444444442</v>
      </c>
      <c r="AJ120" s="46">
        <v>7645.2</v>
      </c>
    </row>
    <row r="121" spans="2:36">
      <c r="B121" s="62" t="s">
        <v>389</v>
      </c>
      <c r="C121" s="14" t="s">
        <v>206</v>
      </c>
      <c r="D121" s="16" t="s">
        <v>206</v>
      </c>
      <c r="E121" s="16" t="s">
        <v>53</v>
      </c>
      <c r="F121" s="16" t="s">
        <v>56</v>
      </c>
      <c r="G121" s="2" t="s">
        <v>321</v>
      </c>
      <c r="H121" s="43" t="s">
        <v>71</v>
      </c>
      <c r="I121" s="16" t="s">
        <v>97</v>
      </c>
      <c r="J121" s="17" t="s">
        <v>92</v>
      </c>
      <c r="K121" s="17">
        <v>14</v>
      </c>
      <c r="L121" s="18">
        <v>212</v>
      </c>
      <c r="M121" s="30">
        <v>344.74</v>
      </c>
      <c r="N121" s="31">
        <v>583.17999999999995</v>
      </c>
      <c r="O121" s="32">
        <v>2968</v>
      </c>
      <c r="P121" s="32">
        <v>4826.3600000000006</v>
      </c>
      <c r="Q121" s="32">
        <v>8164.5199999999995</v>
      </c>
      <c r="R121" s="47">
        <v>10</v>
      </c>
      <c r="S121" s="21">
        <v>46288</v>
      </c>
      <c r="T121" s="33">
        <v>46298</v>
      </c>
      <c r="U121" s="34">
        <v>39</v>
      </c>
      <c r="V121" s="35">
        <v>40</v>
      </c>
      <c r="W121" s="33">
        <v>46288</v>
      </c>
      <c r="X121" s="33">
        <v>46299</v>
      </c>
      <c r="Y121" s="36">
        <v>39</v>
      </c>
      <c r="Z121" s="36">
        <v>40</v>
      </c>
      <c r="AA121" s="25">
        <v>0</v>
      </c>
      <c r="AB121" s="37">
        <v>0.14285714285714285</v>
      </c>
      <c r="AC121" s="38">
        <v>0.14285714285714285</v>
      </c>
      <c r="AD121" s="39">
        <v>0</v>
      </c>
      <c r="AE121" s="39">
        <v>1166.3599999999999</v>
      </c>
      <c r="AF121" s="39">
        <v>0</v>
      </c>
      <c r="AG121" s="29">
        <v>2</v>
      </c>
      <c r="AH121" s="29">
        <v>2</v>
      </c>
      <c r="AI121" s="69">
        <v>0.14285714285714285</v>
      </c>
      <c r="AJ121" s="46">
        <v>1166.3599999999999</v>
      </c>
    </row>
    <row r="122" spans="2:36">
      <c r="B122" s="62" t="s">
        <v>389</v>
      </c>
      <c r="C122" s="14" t="s">
        <v>206</v>
      </c>
      <c r="D122" s="16" t="s">
        <v>206</v>
      </c>
      <c r="E122" s="16" t="s">
        <v>53</v>
      </c>
      <c r="F122" s="16" t="s">
        <v>56</v>
      </c>
      <c r="G122" s="2" t="s">
        <v>322</v>
      </c>
      <c r="H122" s="43" t="s">
        <v>98</v>
      </c>
      <c r="I122" s="16" t="s">
        <v>99</v>
      </c>
      <c r="J122" s="17" t="s">
        <v>92</v>
      </c>
      <c r="K122" s="17">
        <v>1</v>
      </c>
      <c r="L122" s="18">
        <v>529.93600000000004</v>
      </c>
      <c r="M122" s="30">
        <v>3443.0860000000002</v>
      </c>
      <c r="N122" s="31">
        <v>5168.45</v>
      </c>
      <c r="O122" s="32">
        <v>529.93600000000004</v>
      </c>
      <c r="P122" s="32">
        <v>3443.0860000000002</v>
      </c>
      <c r="Q122" s="32">
        <v>5168.45</v>
      </c>
      <c r="R122" s="47">
        <v>8</v>
      </c>
      <c r="S122" s="21">
        <v>46290</v>
      </c>
      <c r="T122" s="33">
        <v>46298</v>
      </c>
      <c r="U122" s="34">
        <v>39</v>
      </c>
      <c r="V122" s="35">
        <v>40</v>
      </c>
      <c r="W122" s="33">
        <v>46290</v>
      </c>
      <c r="X122" s="33">
        <v>46298</v>
      </c>
      <c r="Y122" s="36">
        <v>39</v>
      </c>
      <c r="Z122" s="36">
        <v>40</v>
      </c>
      <c r="AA122" s="25">
        <v>0</v>
      </c>
      <c r="AB122" s="37">
        <v>0</v>
      </c>
      <c r="AC122" s="38">
        <v>0</v>
      </c>
      <c r="AD122" s="39">
        <v>0</v>
      </c>
      <c r="AE122" s="39">
        <v>0</v>
      </c>
      <c r="AF122" s="39">
        <v>0</v>
      </c>
      <c r="AG122" s="29">
        <v>0</v>
      </c>
      <c r="AH122" s="29">
        <v>0</v>
      </c>
      <c r="AI122" s="69">
        <v>0</v>
      </c>
      <c r="AJ122" s="46">
        <v>0</v>
      </c>
    </row>
    <row r="123" spans="2:36">
      <c r="B123" s="62" t="s">
        <v>389</v>
      </c>
      <c r="C123" s="14" t="s">
        <v>206</v>
      </c>
      <c r="D123" s="16" t="s">
        <v>206</v>
      </c>
      <c r="E123" s="16" t="s">
        <v>53</v>
      </c>
      <c r="F123" s="16" t="s">
        <v>56</v>
      </c>
      <c r="G123" s="2" t="s">
        <v>323</v>
      </c>
      <c r="H123" s="43" t="s">
        <v>100</v>
      </c>
      <c r="I123" s="16" t="s">
        <v>101</v>
      </c>
      <c r="J123" s="17" t="s">
        <v>92</v>
      </c>
      <c r="K123" s="17">
        <v>3</v>
      </c>
      <c r="L123" s="18">
        <v>454.23199999999997</v>
      </c>
      <c r="M123" s="30">
        <v>2503.3719999999998</v>
      </c>
      <c r="N123" s="31">
        <v>3786.32</v>
      </c>
      <c r="O123" s="32">
        <v>1362.6959999999999</v>
      </c>
      <c r="P123" s="32">
        <v>7510.116</v>
      </c>
      <c r="Q123" s="32">
        <v>11358.960000000001</v>
      </c>
      <c r="R123" s="47">
        <v>10</v>
      </c>
      <c r="S123" s="21">
        <v>46292</v>
      </c>
      <c r="T123" s="33">
        <v>46302</v>
      </c>
      <c r="U123" s="34">
        <v>39</v>
      </c>
      <c r="V123" s="35">
        <v>41</v>
      </c>
      <c r="W123" s="33">
        <v>46293</v>
      </c>
      <c r="X123" s="33">
        <v>46304</v>
      </c>
      <c r="Y123" s="36">
        <v>40</v>
      </c>
      <c r="Z123" s="36">
        <v>41</v>
      </c>
      <c r="AA123" s="25">
        <v>0</v>
      </c>
      <c r="AB123" s="37">
        <v>0.33333333333333331</v>
      </c>
      <c r="AC123" s="38">
        <v>0.33333333333333331</v>
      </c>
      <c r="AD123" s="39">
        <v>0</v>
      </c>
      <c r="AE123" s="39">
        <v>3786.32</v>
      </c>
      <c r="AF123" s="39">
        <v>0</v>
      </c>
      <c r="AG123" s="29">
        <v>1</v>
      </c>
      <c r="AH123" s="29">
        <v>1</v>
      </c>
      <c r="AI123" s="69">
        <v>0.33333333333333331</v>
      </c>
      <c r="AJ123" s="46">
        <v>3786.32</v>
      </c>
    </row>
    <row r="124" spans="2:36">
      <c r="B124" s="62" t="s">
        <v>389</v>
      </c>
      <c r="C124" s="14" t="s">
        <v>206</v>
      </c>
      <c r="D124" s="16" t="s">
        <v>206</v>
      </c>
      <c r="E124" s="16" t="s">
        <v>53</v>
      </c>
      <c r="F124" s="16" t="s">
        <v>56</v>
      </c>
      <c r="G124" s="2" t="s">
        <v>324</v>
      </c>
      <c r="H124" s="43" t="s">
        <v>102</v>
      </c>
      <c r="I124" s="16" t="s">
        <v>103</v>
      </c>
      <c r="J124" s="17" t="s">
        <v>92</v>
      </c>
      <c r="K124" s="17">
        <v>2</v>
      </c>
      <c r="L124" s="18">
        <v>384</v>
      </c>
      <c r="M124" s="30">
        <v>2496.2600000000002</v>
      </c>
      <c r="N124" s="31">
        <v>3747.07</v>
      </c>
      <c r="O124" s="32">
        <v>768</v>
      </c>
      <c r="P124" s="32">
        <v>4992.5200000000004</v>
      </c>
      <c r="Q124" s="32">
        <v>7494.14</v>
      </c>
      <c r="R124" s="47">
        <v>6</v>
      </c>
      <c r="S124" s="21">
        <v>46295</v>
      </c>
      <c r="T124" s="33">
        <v>46301</v>
      </c>
      <c r="U124" s="34">
        <v>40</v>
      </c>
      <c r="V124" s="35">
        <v>41</v>
      </c>
      <c r="W124" s="33">
        <v>46295</v>
      </c>
      <c r="X124" s="33">
        <v>46302</v>
      </c>
      <c r="Y124" s="36">
        <v>40</v>
      </c>
      <c r="Z124" s="36">
        <v>41</v>
      </c>
      <c r="AA124" s="25">
        <v>0</v>
      </c>
      <c r="AB124" s="37">
        <v>0.5</v>
      </c>
      <c r="AC124" s="38">
        <v>0.5</v>
      </c>
      <c r="AD124" s="39">
        <v>0</v>
      </c>
      <c r="AE124" s="39">
        <v>3747.07</v>
      </c>
      <c r="AF124" s="39">
        <v>0</v>
      </c>
      <c r="AG124" s="29">
        <v>1</v>
      </c>
      <c r="AH124" s="29">
        <v>1</v>
      </c>
      <c r="AI124" s="69">
        <v>0.5</v>
      </c>
      <c r="AJ124" s="46">
        <v>3747.07</v>
      </c>
    </row>
    <row r="125" spans="2:36">
      <c r="B125" s="62" t="s">
        <v>389</v>
      </c>
      <c r="C125" s="14" t="s">
        <v>206</v>
      </c>
      <c r="D125" s="16" t="s">
        <v>206</v>
      </c>
      <c r="E125" s="16" t="s">
        <v>53</v>
      </c>
      <c r="F125" s="16" t="s">
        <v>56</v>
      </c>
      <c r="G125" s="2" t="s">
        <v>325</v>
      </c>
      <c r="H125" s="43" t="s">
        <v>104</v>
      </c>
      <c r="I125" s="16" t="s">
        <v>105</v>
      </c>
      <c r="J125" s="17" t="s">
        <v>92</v>
      </c>
      <c r="K125" s="17">
        <v>2</v>
      </c>
      <c r="L125" s="18">
        <v>288</v>
      </c>
      <c r="M125" s="30">
        <v>4504.2300000000005</v>
      </c>
      <c r="N125" s="31">
        <v>6593.86</v>
      </c>
      <c r="O125" s="32">
        <v>576</v>
      </c>
      <c r="P125" s="32">
        <v>9008.4600000000009</v>
      </c>
      <c r="Q125" s="32">
        <v>13187.72</v>
      </c>
      <c r="R125" s="47">
        <v>6</v>
      </c>
      <c r="S125" s="21">
        <v>46297</v>
      </c>
      <c r="T125" s="33">
        <v>46303</v>
      </c>
      <c r="U125" s="34">
        <v>40</v>
      </c>
      <c r="V125" s="35">
        <v>41</v>
      </c>
      <c r="W125" s="33">
        <v>46299</v>
      </c>
      <c r="X125" s="33">
        <v>46306</v>
      </c>
      <c r="Y125" s="36">
        <v>40</v>
      </c>
      <c r="Z125" s="36">
        <v>41</v>
      </c>
      <c r="AA125" s="25">
        <v>0</v>
      </c>
      <c r="AB125" s="37">
        <v>1</v>
      </c>
      <c r="AC125" s="38">
        <v>1</v>
      </c>
      <c r="AD125" s="39">
        <v>0</v>
      </c>
      <c r="AE125" s="39">
        <v>13187.72</v>
      </c>
      <c r="AF125" s="39">
        <v>0</v>
      </c>
      <c r="AG125" s="29">
        <v>2</v>
      </c>
      <c r="AH125" s="29">
        <v>2</v>
      </c>
      <c r="AI125" s="69">
        <v>1</v>
      </c>
      <c r="AJ125" s="46">
        <v>13187.72</v>
      </c>
    </row>
    <row r="126" spans="2:36">
      <c r="B126" s="62" t="s">
        <v>389</v>
      </c>
      <c r="C126" s="14" t="s">
        <v>206</v>
      </c>
      <c r="D126" s="16" t="s">
        <v>206</v>
      </c>
      <c r="E126" s="16" t="s">
        <v>53</v>
      </c>
      <c r="F126" s="16" t="s">
        <v>56</v>
      </c>
      <c r="G126" s="2" t="s">
        <v>326</v>
      </c>
      <c r="H126" s="43" t="s">
        <v>106</v>
      </c>
      <c r="I126" s="16" t="s">
        <v>107</v>
      </c>
      <c r="J126" s="17" t="s">
        <v>92</v>
      </c>
      <c r="K126" s="17">
        <v>4</v>
      </c>
      <c r="L126" s="18">
        <v>288</v>
      </c>
      <c r="M126" s="30">
        <v>999.26</v>
      </c>
      <c r="N126" s="31">
        <v>1555.46</v>
      </c>
      <c r="O126" s="32">
        <v>1152</v>
      </c>
      <c r="P126" s="32">
        <v>3997.04</v>
      </c>
      <c r="Q126" s="32">
        <v>6221.84</v>
      </c>
      <c r="R126" s="47">
        <v>8</v>
      </c>
      <c r="S126" s="21">
        <v>46299</v>
      </c>
      <c r="T126" s="33">
        <v>46307</v>
      </c>
      <c r="U126" s="34">
        <v>40</v>
      </c>
      <c r="V126" s="35">
        <v>42</v>
      </c>
      <c r="W126" s="33">
        <v>46299</v>
      </c>
      <c r="X126" s="33">
        <v>46308</v>
      </c>
      <c r="Y126" s="36">
        <v>40</v>
      </c>
      <c r="Z126" s="36">
        <v>42</v>
      </c>
      <c r="AA126" s="25">
        <v>0</v>
      </c>
      <c r="AB126" s="37">
        <v>0</v>
      </c>
      <c r="AC126" s="38">
        <v>0</v>
      </c>
      <c r="AD126" s="39">
        <v>0</v>
      </c>
      <c r="AE126" s="39">
        <v>0</v>
      </c>
      <c r="AF126" s="39">
        <v>0</v>
      </c>
      <c r="AG126" s="29">
        <v>0</v>
      </c>
      <c r="AH126" s="29">
        <v>0</v>
      </c>
      <c r="AI126" s="69">
        <v>0</v>
      </c>
      <c r="AJ126" s="46">
        <v>0</v>
      </c>
    </row>
    <row r="127" spans="2:36">
      <c r="B127" s="62" t="s">
        <v>389</v>
      </c>
      <c r="C127" s="14" t="s">
        <v>206</v>
      </c>
      <c r="D127" s="16" t="s">
        <v>206</v>
      </c>
      <c r="E127" s="16" t="s">
        <v>53</v>
      </c>
      <c r="F127" s="16" t="s">
        <v>56</v>
      </c>
      <c r="G127" s="2" t="s">
        <v>327</v>
      </c>
      <c r="H127" s="43" t="s">
        <v>108</v>
      </c>
      <c r="I127" s="16" t="s">
        <v>109</v>
      </c>
      <c r="J127" s="17" t="s">
        <v>92</v>
      </c>
      <c r="K127" s="17">
        <v>4</v>
      </c>
      <c r="L127" s="18">
        <v>336</v>
      </c>
      <c r="M127" s="30">
        <v>961.09</v>
      </c>
      <c r="N127" s="31">
        <v>1520.43</v>
      </c>
      <c r="O127" s="32">
        <v>1344</v>
      </c>
      <c r="P127" s="32">
        <v>3844.36</v>
      </c>
      <c r="Q127" s="32">
        <v>6081.72</v>
      </c>
      <c r="R127" s="47">
        <v>8</v>
      </c>
      <c r="S127" s="21">
        <v>46302</v>
      </c>
      <c r="T127" s="33">
        <v>46310</v>
      </c>
      <c r="U127" s="34">
        <v>41</v>
      </c>
      <c r="V127" s="35">
        <v>42</v>
      </c>
      <c r="W127" s="33">
        <v>46302</v>
      </c>
      <c r="X127" s="33">
        <v>46310</v>
      </c>
      <c r="Y127" s="36">
        <v>41</v>
      </c>
      <c r="Z127" s="36">
        <v>42</v>
      </c>
      <c r="AA127" s="25">
        <v>0</v>
      </c>
      <c r="AB127" s="37">
        <v>0.5</v>
      </c>
      <c r="AC127" s="38">
        <v>0.5</v>
      </c>
      <c r="AD127" s="39">
        <v>0</v>
      </c>
      <c r="AE127" s="39">
        <v>3040.86</v>
      </c>
      <c r="AF127" s="39">
        <v>0</v>
      </c>
      <c r="AG127" s="29">
        <v>2</v>
      </c>
      <c r="AH127" s="29">
        <v>2</v>
      </c>
      <c r="AI127" s="69">
        <v>0.5</v>
      </c>
      <c r="AJ127" s="46">
        <v>3040.86</v>
      </c>
    </row>
    <row r="128" spans="2:36">
      <c r="B128" s="62" t="s">
        <v>389</v>
      </c>
      <c r="C128" s="14" t="s">
        <v>206</v>
      </c>
      <c r="D128" s="16" t="s">
        <v>206</v>
      </c>
      <c r="E128" s="16" t="s">
        <v>53</v>
      </c>
      <c r="F128" s="16" t="s">
        <v>56</v>
      </c>
      <c r="G128" s="2" t="s">
        <v>328</v>
      </c>
      <c r="H128" s="43" t="s">
        <v>110</v>
      </c>
      <c r="I128" s="16" t="s">
        <v>111</v>
      </c>
      <c r="J128" s="17" t="s">
        <v>92</v>
      </c>
      <c r="K128" s="17">
        <v>1</v>
      </c>
      <c r="L128" s="18">
        <v>288</v>
      </c>
      <c r="M128" s="30">
        <v>648.20000000000005</v>
      </c>
      <c r="N128" s="31">
        <v>1050.81</v>
      </c>
      <c r="O128" s="32">
        <v>288</v>
      </c>
      <c r="P128" s="32">
        <v>648.20000000000005</v>
      </c>
      <c r="Q128" s="32">
        <v>1050.81</v>
      </c>
      <c r="R128" s="47">
        <v>5</v>
      </c>
      <c r="S128" s="21">
        <v>46305</v>
      </c>
      <c r="T128" s="33">
        <v>46310</v>
      </c>
      <c r="U128" s="34">
        <v>41</v>
      </c>
      <c r="V128" s="35">
        <v>42</v>
      </c>
      <c r="W128" s="33">
        <v>46305</v>
      </c>
      <c r="X128" s="33">
        <v>46310</v>
      </c>
      <c r="Y128" s="36">
        <v>41</v>
      </c>
      <c r="Z128" s="36">
        <v>42</v>
      </c>
      <c r="AA128" s="25">
        <v>0</v>
      </c>
      <c r="AB128" s="37">
        <v>1</v>
      </c>
      <c r="AC128" s="38">
        <v>1</v>
      </c>
      <c r="AD128" s="39">
        <v>0</v>
      </c>
      <c r="AE128" s="39">
        <v>1050.81</v>
      </c>
      <c r="AF128" s="39">
        <v>0</v>
      </c>
      <c r="AG128" s="29">
        <v>1</v>
      </c>
      <c r="AH128" s="29">
        <v>1</v>
      </c>
      <c r="AI128" s="69">
        <v>1</v>
      </c>
      <c r="AJ128" s="46">
        <v>1050.81</v>
      </c>
    </row>
    <row r="129" spans="2:36">
      <c r="B129" s="62" t="s">
        <v>389</v>
      </c>
      <c r="C129" s="14" t="s">
        <v>206</v>
      </c>
      <c r="D129" s="16" t="s">
        <v>206</v>
      </c>
      <c r="E129" s="16" t="s">
        <v>53</v>
      </c>
      <c r="F129" s="16" t="s">
        <v>56</v>
      </c>
      <c r="G129" s="2" t="s">
        <v>329</v>
      </c>
      <c r="H129" s="43" t="s">
        <v>180</v>
      </c>
      <c r="I129" s="16" t="s">
        <v>181</v>
      </c>
      <c r="J129" s="17" t="s">
        <v>92</v>
      </c>
      <c r="K129" s="17">
        <v>2</v>
      </c>
      <c r="L129" s="18">
        <v>288</v>
      </c>
      <c r="M129" s="30">
        <v>1605.04</v>
      </c>
      <c r="N129" s="31">
        <v>2426.27</v>
      </c>
      <c r="O129" s="32">
        <v>576</v>
      </c>
      <c r="P129" s="32">
        <v>3210.08</v>
      </c>
      <c r="Q129" s="32">
        <v>4852.54</v>
      </c>
      <c r="R129" s="47">
        <v>9</v>
      </c>
      <c r="S129" s="21">
        <v>46306</v>
      </c>
      <c r="T129" s="33">
        <v>46315</v>
      </c>
      <c r="U129" s="34">
        <v>41</v>
      </c>
      <c r="V129" s="35">
        <v>43</v>
      </c>
      <c r="W129" s="33">
        <v>46308</v>
      </c>
      <c r="X129" s="33">
        <v>46318</v>
      </c>
      <c r="Y129" s="36">
        <v>42</v>
      </c>
      <c r="Z129" s="36">
        <v>43</v>
      </c>
      <c r="AA129" s="25">
        <v>0</v>
      </c>
      <c r="AB129" s="37">
        <v>0.5</v>
      </c>
      <c r="AC129" s="38">
        <v>0.5</v>
      </c>
      <c r="AD129" s="39">
        <v>0</v>
      </c>
      <c r="AE129" s="39">
        <v>2426.27</v>
      </c>
      <c r="AF129" s="39">
        <v>0</v>
      </c>
      <c r="AG129" s="29">
        <v>1</v>
      </c>
      <c r="AH129" s="29">
        <v>1</v>
      </c>
      <c r="AI129" s="69">
        <v>0.5</v>
      </c>
      <c r="AJ129" s="46">
        <v>2426.27</v>
      </c>
    </row>
    <row r="130" spans="2:36">
      <c r="B130" s="62" t="s">
        <v>389</v>
      </c>
      <c r="C130" s="14" t="s">
        <v>206</v>
      </c>
      <c r="D130" s="16" t="s">
        <v>206</v>
      </c>
      <c r="E130" s="16" t="s">
        <v>53</v>
      </c>
      <c r="F130" s="16" t="s">
        <v>56</v>
      </c>
      <c r="G130" s="2" t="s">
        <v>330</v>
      </c>
      <c r="H130" s="43" t="s">
        <v>68</v>
      </c>
      <c r="I130" s="16" t="s">
        <v>115</v>
      </c>
      <c r="J130" s="17" t="s">
        <v>92</v>
      </c>
      <c r="K130" s="17">
        <v>45</v>
      </c>
      <c r="L130" s="18">
        <v>256</v>
      </c>
      <c r="M130" s="30">
        <v>1359</v>
      </c>
      <c r="N130" s="31">
        <v>2059.36</v>
      </c>
      <c r="O130" s="32">
        <v>11520</v>
      </c>
      <c r="P130" s="32">
        <v>61155</v>
      </c>
      <c r="Q130" s="32">
        <v>92671.200000000012</v>
      </c>
      <c r="R130" s="47">
        <v>5</v>
      </c>
      <c r="S130" s="21">
        <v>46307</v>
      </c>
      <c r="T130" s="33">
        <v>46312</v>
      </c>
      <c r="U130" s="34">
        <v>42</v>
      </c>
      <c r="V130" s="35">
        <v>42</v>
      </c>
      <c r="W130" s="33">
        <v>46309</v>
      </c>
      <c r="X130" s="33">
        <v>46314</v>
      </c>
      <c r="Y130" s="36">
        <v>42</v>
      </c>
      <c r="Z130" s="36">
        <v>43</v>
      </c>
      <c r="AA130" s="25">
        <v>0</v>
      </c>
      <c r="AB130" s="37">
        <v>0.8666666666666667</v>
      </c>
      <c r="AC130" s="38">
        <v>0.8666666666666667</v>
      </c>
      <c r="AD130" s="39">
        <v>0</v>
      </c>
      <c r="AE130" s="39">
        <v>80315.040000000008</v>
      </c>
      <c r="AF130" s="39">
        <v>0</v>
      </c>
      <c r="AG130" s="29">
        <v>39</v>
      </c>
      <c r="AH130" s="29">
        <v>39</v>
      </c>
      <c r="AI130" s="69">
        <v>0.8666666666666667</v>
      </c>
      <c r="AJ130" s="46">
        <v>80315.040000000008</v>
      </c>
    </row>
    <row r="131" spans="2:36">
      <c r="B131" s="62" t="s">
        <v>389</v>
      </c>
      <c r="C131" s="14" t="s">
        <v>206</v>
      </c>
      <c r="D131" s="16" t="s">
        <v>206</v>
      </c>
      <c r="E131" s="16" t="s">
        <v>53</v>
      </c>
      <c r="F131" s="16" t="s">
        <v>56</v>
      </c>
      <c r="G131" s="2" t="s">
        <v>331</v>
      </c>
      <c r="H131" s="43" t="s">
        <v>69</v>
      </c>
      <c r="I131" s="16" t="s">
        <v>116</v>
      </c>
      <c r="J131" s="17" t="s">
        <v>92</v>
      </c>
      <c r="K131" s="17">
        <v>5</v>
      </c>
      <c r="L131" s="18">
        <v>256</v>
      </c>
      <c r="M131" s="30">
        <v>1843.9199999999998</v>
      </c>
      <c r="N131" s="31">
        <v>2756.44</v>
      </c>
      <c r="O131" s="32">
        <v>1280</v>
      </c>
      <c r="P131" s="32">
        <v>9219.5999999999985</v>
      </c>
      <c r="Q131" s="32">
        <v>13782.2</v>
      </c>
      <c r="R131" s="47">
        <v>6</v>
      </c>
      <c r="S131" s="21">
        <v>46308</v>
      </c>
      <c r="T131" s="33">
        <v>46314</v>
      </c>
      <c r="U131" s="34">
        <v>42</v>
      </c>
      <c r="V131" s="35">
        <v>43</v>
      </c>
      <c r="W131" s="33">
        <v>46309</v>
      </c>
      <c r="X131" s="33">
        <v>46316</v>
      </c>
      <c r="Y131" s="36">
        <v>42</v>
      </c>
      <c r="Z131" s="36">
        <v>43</v>
      </c>
      <c r="AA131" s="25">
        <v>0</v>
      </c>
      <c r="AB131" s="37">
        <v>0</v>
      </c>
      <c r="AC131" s="38">
        <v>0</v>
      </c>
      <c r="AD131" s="39">
        <v>0</v>
      </c>
      <c r="AE131" s="39">
        <v>0</v>
      </c>
      <c r="AF131" s="39">
        <v>0</v>
      </c>
      <c r="AG131" s="29">
        <v>0</v>
      </c>
      <c r="AH131" s="29">
        <v>0</v>
      </c>
      <c r="AI131" s="69">
        <v>0</v>
      </c>
      <c r="AJ131" s="46">
        <v>0</v>
      </c>
    </row>
    <row r="132" spans="2:36">
      <c r="B132" s="62" t="s">
        <v>389</v>
      </c>
      <c r="C132" s="14" t="s">
        <v>206</v>
      </c>
      <c r="D132" s="16" t="s">
        <v>206</v>
      </c>
      <c r="E132" s="16" t="s">
        <v>53</v>
      </c>
      <c r="F132" s="16" t="s">
        <v>56</v>
      </c>
      <c r="G132" s="2" t="s">
        <v>332</v>
      </c>
      <c r="H132" s="43" t="s">
        <v>119</v>
      </c>
      <c r="I132" s="16" t="s">
        <v>120</v>
      </c>
      <c r="J132" s="17" t="s">
        <v>92</v>
      </c>
      <c r="K132" s="17">
        <v>6</v>
      </c>
      <c r="L132" s="18">
        <v>454.23199999999997</v>
      </c>
      <c r="M132" s="30">
        <v>1361.242</v>
      </c>
      <c r="N132" s="31">
        <v>2144.5100000000002</v>
      </c>
      <c r="O132" s="32">
        <v>2725.3919999999998</v>
      </c>
      <c r="P132" s="32">
        <v>8167.4519999999993</v>
      </c>
      <c r="Q132" s="32">
        <v>12867.060000000001</v>
      </c>
      <c r="R132" s="47">
        <v>5</v>
      </c>
      <c r="S132" s="21">
        <v>46310</v>
      </c>
      <c r="T132" s="33">
        <v>46315</v>
      </c>
      <c r="U132" s="34">
        <v>42</v>
      </c>
      <c r="V132" s="35">
        <v>43</v>
      </c>
      <c r="W132" s="33">
        <v>46312</v>
      </c>
      <c r="X132" s="33">
        <v>46317</v>
      </c>
      <c r="Y132" s="36">
        <v>42</v>
      </c>
      <c r="Z132" s="36">
        <v>43</v>
      </c>
      <c r="AA132" s="25">
        <v>0</v>
      </c>
      <c r="AB132" s="37">
        <v>0</v>
      </c>
      <c r="AC132" s="38">
        <v>0</v>
      </c>
      <c r="AD132" s="39">
        <v>0</v>
      </c>
      <c r="AE132" s="39">
        <v>0</v>
      </c>
      <c r="AF132" s="39">
        <v>0</v>
      </c>
      <c r="AG132" s="29">
        <v>0</v>
      </c>
      <c r="AH132" s="29">
        <v>0</v>
      </c>
      <c r="AI132" s="69">
        <v>0</v>
      </c>
      <c r="AJ132" s="46">
        <v>0</v>
      </c>
    </row>
    <row r="133" spans="2:36">
      <c r="B133" s="62" t="s">
        <v>389</v>
      </c>
      <c r="C133" s="14" t="s">
        <v>206</v>
      </c>
      <c r="D133" s="16" t="s">
        <v>206</v>
      </c>
      <c r="E133" s="16" t="s">
        <v>53</v>
      </c>
      <c r="F133" s="16" t="s">
        <v>56</v>
      </c>
      <c r="G133" s="2" t="s">
        <v>333</v>
      </c>
      <c r="H133" s="43" t="s">
        <v>117</v>
      </c>
      <c r="I133" s="16" t="s">
        <v>118</v>
      </c>
      <c r="J133" s="17" t="s">
        <v>92</v>
      </c>
      <c r="K133" s="17">
        <v>5</v>
      </c>
      <c r="L133" s="18">
        <v>454.23199999999997</v>
      </c>
      <c r="M133" s="30">
        <v>1990.502</v>
      </c>
      <c r="N133" s="31">
        <v>3049.06</v>
      </c>
      <c r="O133" s="32">
        <v>2271.16</v>
      </c>
      <c r="P133" s="32">
        <v>9952.51</v>
      </c>
      <c r="Q133" s="32">
        <v>15245.3</v>
      </c>
      <c r="R133" s="47">
        <v>4</v>
      </c>
      <c r="S133" s="21">
        <v>46311</v>
      </c>
      <c r="T133" s="33">
        <v>46315</v>
      </c>
      <c r="U133" s="34">
        <v>42</v>
      </c>
      <c r="V133" s="35">
        <v>43</v>
      </c>
      <c r="W133" s="33">
        <v>46312</v>
      </c>
      <c r="X133" s="33">
        <v>46316</v>
      </c>
      <c r="Y133" s="36">
        <v>42</v>
      </c>
      <c r="Z133" s="36">
        <v>43</v>
      </c>
      <c r="AA133" s="25">
        <v>0</v>
      </c>
      <c r="AB133" s="37">
        <v>0.6</v>
      </c>
      <c r="AC133" s="38">
        <v>0.6</v>
      </c>
      <c r="AD133" s="39">
        <v>0</v>
      </c>
      <c r="AE133" s="39">
        <v>9147.1799999999985</v>
      </c>
      <c r="AF133" s="39">
        <v>0</v>
      </c>
      <c r="AG133" s="29">
        <v>3</v>
      </c>
      <c r="AH133" s="29">
        <v>3</v>
      </c>
      <c r="AI133" s="69">
        <v>0.6</v>
      </c>
      <c r="AJ133" s="46">
        <v>9147.18</v>
      </c>
    </row>
    <row r="134" spans="2:36">
      <c r="B134" s="62" t="s">
        <v>389</v>
      </c>
      <c r="C134" s="14" t="s">
        <v>206</v>
      </c>
      <c r="D134" s="16" t="s">
        <v>206</v>
      </c>
      <c r="E134" s="16" t="s">
        <v>53</v>
      </c>
      <c r="F134" s="16" t="s">
        <v>56</v>
      </c>
      <c r="G134" s="2" t="s">
        <v>334</v>
      </c>
      <c r="H134" s="43" t="s">
        <v>63</v>
      </c>
      <c r="I134" s="16" t="s">
        <v>121</v>
      </c>
      <c r="J134" s="17" t="s">
        <v>92</v>
      </c>
      <c r="K134" s="17">
        <v>3</v>
      </c>
      <c r="L134" s="18">
        <v>216</v>
      </c>
      <c r="M134" s="30">
        <v>949.59</v>
      </c>
      <c r="N134" s="31">
        <v>1454.3</v>
      </c>
      <c r="O134" s="32">
        <v>648</v>
      </c>
      <c r="P134" s="32">
        <v>2848.77</v>
      </c>
      <c r="Q134" s="32">
        <v>4362.8999999999996</v>
      </c>
      <c r="R134" s="47">
        <v>5</v>
      </c>
      <c r="S134" s="21">
        <v>46313</v>
      </c>
      <c r="T134" s="33">
        <v>46318</v>
      </c>
      <c r="U134" s="34">
        <v>42</v>
      </c>
      <c r="V134" s="35">
        <v>43</v>
      </c>
      <c r="W134" s="33">
        <v>46314</v>
      </c>
      <c r="X134" s="33">
        <v>46320</v>
      </c>
      <c r="Y134" s="36">
        <v>43</v>
      </c>
      <c r="Z134" s="36">
        <v>43</v>
      </c>
      <c r="AA134" s="25">
        <v>0</v>
      </c>
      <c r="AB134" s="37">
        <v>0.66666666666666663</v>
      </c>
      <c r="AC134" s="38">
        <v>0.66666666666666663</v>
      </c>
      <c r="AD134" s="39">
        <v>0</v>
      </c>
      <c r="AE134" s="39">
        <v>2908.5999999999995</v>
      </c>
      <c r="AF134" s="39">
        <v>0</v>
      </c>
      <c r="AG134" s="29">
        <v>2</v>
      </c>
      <c r="AH134" s="29">
        <v>2</v>
      </c>
      <c r="AI134" s="69">
        <v>0.66666666666666663</v>
      </c>
      <c r="AJ134" s="46">
        <v>2908.6</v>
      </c>
    </row>
    <row r="135" spans="2:36">
      <c r="B135" s="62" t="s">
        <v>389</v>
      </c>
      <c r="C135" s="14" t="s">
        <v>206</v>
      </c>
      <c r="D135" s="16" t="s">
        <v>206</v>
      </c>
      <c r="E135" s="16" t="s">
        <v>53</v>
      </c>
      <c r="F135" s="16" t="s">
        <v>56</v>
      </c>
      <c r="G135" s="2" t="s">
        <v>335</v>
      </c>
      <c r="H135" s="43" t="s">
        <v>67</v>
      </c>
      <c r="I135" s="16" t="s">
        <v>125</v>
      </c>
      <c r="J135" s="17" t="s">
        <v>92</v>
      </c>
      <c r="K135" s="17">
        <v>1</v>
      </c>
      <c r="L135" s="18">
        <v>256</v>
      </c>
      <c r="M135" s="30">
        <v>1256</v>
      </c>
      <c r="N135" s="31">
        <v>1911.3</v>
      </c>
      <c r="O135" s="32">
        <v>256</v>
      </c>
      <c r="P135" s="32">
        <v>1256</v>
      </c>
      <c r="Q135" s="32">
        <v>1911.3</v>
      </c>
      <c r="R135" s="47">
        <v>4</v>
      </c>
      <c r="S135" s="21">
        <v>46314</v>
      </c>
      <c r="T135" s="33">
        <v>46318</v>
      </c>
      <c r="U135" s="34">
        <v>43</v>
      </c>
      <c r="V135" s="35">
        <v>43</v>
      </c>
      <c r="W135" s="33">
        <v>46314</v>
      </c>
      <c r="X135" s="33">
        <v>46320</v>
      </c>
      <c r="Y135" s="36">
        <v>43</v>
      </c>
      <c r="Z135" s="36">
        <v>43</v>
      </c>
      <c r="AA135" s="25">
        <v>0</v>
      </c>
      <c r="AB135" s="37">
        <v>1</v>
      </c>
      <c r="AC135" s="38">
        <v>1</v>
      </c>
      <c r="AD135" s="39">
        <v>0</v>
      </c>
      <c r="AE135" s="39">
        <v>1911.3</v>
      </c>
      <c r="AF135" s="39">
        <v>0</v>
      </c>
      <c r="AG135" s="29">
        <v>1</v>
      </c>
      <c r="AH135" s="29">
        <v>1</v>
      </c>
      <c r="AI135" s="69">
        <v>1</v>
      </c>
      <c r="AJ135" s="46">
        <v>1911.3</v>
      </c>
    </row>
    <row r="136" spans="2:36">
      <c r="B136" s="62" t="s">
        <v>389</v>
      </c>
      <c r="C136" s="14" t="s">
        <v>206</v>
      </c>
      <c r="D136" s="16" t="s">
        <v>206</v>
      </c>
      <c r="E136" s="16" t="s">
        <v>49</v>
      </c>
      <c r="F136" s="16" t="s">
        <v>50</v>
      </c>
      <c r="G136" s="2" t="s">
        <v>336</v>
      </c>
      <c r="H136" s="43" t="s">
        <v>135</v>
      </c>
      <c r="I136" s="16" t="s">
        <v>136</v>
      </c>
      <c r="J136" s="17" t="s">
        <v>92</v>
      </c>
      <c r="K136" s="17">
        <v>2</v>
      </c>
      <c r="L136" s="18">
        <v>296.00799999999998</v>
      </c>
      <c r="M136" s="30">
        <v>307.108</v>
      </c>
      <c r="N136" s="31">
        <v>563.79</v>
      </c>
      <c r="O136" s="32">
        <v>592.01599999999996</v>
      </c>
      <c r="P136" s="32">
        <v>614.21600000000001</v>
      </c>
      <c r="Q136" s="32">
        <v>1127.58</v>
      </c>
      <c r="R136" s="47">
        <v>6</v>
      </c>
      <c r="S136" s="21">
        <v>46317</v>
      </c>
      <c r="T136" s="33">
        <v>46323</v>
      </c>
      <c r="U136" s="34">
        <v>43</v>
      </c>
      <c r="V136" s="35">
        <v>44</v>
      </c>
      <c r="W136" s="33">
        <v>46318</v>
      </c>
      <c r="X136" s="33">
        <v>46326</v>
      </c>
      <c r="Y136" s="36">
        <v>43</v>
      </c>
      <c r="Z136" s="36">
        <v>44</v>
      </c>
      <c r="AA136" s="25">
        <v>0</v>
      </c>
      <c r="AB136" s="37">
        <v>0</v>
      </c>
      <c r="AC136" s="38">
        <v>0</v>
      </c>
      <c r="AD136" s="39">
        <v>0</v>
      </c>
      <c r="AE136" s="39">
        <v>0</v>
      </c>
      <c r="AF136" s="39">
        <v>0</v>
      </c>
      <c r="AG136" s="29">
        <v>0</v>
      </c>
      <c r="AH136" s="29">
        <v>0</v>
      </c>
      <c r="AI136" s="69">
        <v>0</v>
      </c>
      <c r="AJ136" s="46">
        <v>0</v>
      </c>
    </row>
    <row r="137" spans="2:36">
      <c r="B137" s="62" t="s">
        <v>389</v>
      </c>
      <c r="C137" s="14" t="s">
        <v>206</v>
      </c>
      <c r="D137" s="16" t="s">
        <v>206</v>
      </c>
      <c r="E137" s="16" t="s">
        <v>49</v>
      </c>
      <c r="F137" s="16" t="s">
        <v>50</v>
      </c>
      <c r="G137" s="2" t="s">
        <v>337</v>
      </c>
      <c r="H137" s="43" t="s">
        <v>137</v>
      </c>
      <c r="I137" s="16" t="s">
        <v>138</v>
      </c>
      <c r="J137" s="17" t="s">
        <v>92</v>
      </c>
      <c r="K137" s="17">
        <v>2</v>
      </c>
      <c r="L137" s="18">
        <v>80</v>
      </c>
      <c r="M137" s="30">
        <v>383</v>
      </c>
      <c r="N137" s="31">
        <v>583.63</v>
      </c>
      <c r="O137" s="32">
        <v>160</v>
      </c>
      <c r="P137" s="32">
        <v>766</v>
      </c>
      <c r="Q137" s="32">
        <v>1167.26</v>
      </c>
      <c r="R137" s="47">
        <v>5</v>
      </c>
      <c r="S137" s="21">
        <v>46320</v>
      </c>
      <c r="T137" s="33">
        <v>46325</v>
      </c>
      <c r="U137" s="34">
        <v>43</v>
      </c>
      <c r="V137" s="35">
        <v>44</v>
      </c>
      <c r="W137" s="33">
        <v>46321</v>
      </c>
      <c r="X137" s="33">
        <v>46327</v>
      </c>
      <c r="Y137" s="36">
        <v>44</v>
      </c>
      <c r="Z137" s="36">
        <v>44</v>
      </c>
      <c r="AA137" s="25">
        <v>0</v>
      </c>
      <c r="AB137" s="37">
        <v>0</v>
      </c>
      <c r="AC137" s="38">
        <v>0</v>
      </c>
      <c r="AD137" s="39">
        <v>0</v>
      </c>
      <c r="AE137" s="39">
        <v>0</v>
      </c>
      <c r="AF137" s="39">
        <v>0</v>
      </c>
      <c r="AG137" s="29">
        <v>0</v>
      </c>
      <c r="AH137" s="29">
        <v>0</v>
      </c>
      <c r="AI137" s="69">
        <v>0</v>
      </c>
      <c r="AJ137" s="46">
        <v>0</v>
      </c>
    </row>
    <row r="138" spans="2:36">
      <c r="B138" s="62" t="s">
        <v>389</v>
      </c>
      <c r="C138" s="14" t="s">
        <v>206</v>
      </c>
      <c r="D138" s="16" t="s">
        <v>206</v>
      </c>
      <c r="E138" s="16" t="s">
        <v>49</v>
      </c>
      <c r="F138" s="16" t="s">
        <v>52</v>
      </c>
      <c r="G138" s="2" t="s">
        <v>338</v>
      </c>
      <c r="H138" s="43" t="s">
        <v>194</v>
      </c>
      <c r="I138" s="16" t="s">
        <v>140</v>
      </c>
      <c r="J138" s="17" t="s">
        <v>84</v>
      </c>
      <c r="K138" s="17">
        <v>1</v>
      </c>
      <c r="L138" s="18">
        <v>1271.9840000000002</v>
      </c>
      <c r="M138" s="30">
        <v>3859.1639999999998</v>
      </c>
      <c r="N138" s="31">
        <v>6073.36</v>
      </c>
      <c r="O138" s="32">
        <v>1271.9840000000002</v>
      </c>
      <c r="P138" s="32">
        <v>3859.1639999999998</v>
      </c>
      <c r="Q138" s="32">
        <v>6073.36</v>
      </c>
      <c r="R138" s="47">
        <v>5</v>
      </c>
      <c r="S138" s="21">
        <v>46322</v>
      </c>
      <c r="T138" s="33">
        <v>46327</v>
      </c>
      <c r="U138" s="34">
        <v>44</v>
      </c>
      <c r="V138" s="35">
        <v>44</v>
      </c>
      <c r="W138" s="33">
        <v>46324</v>
      </c>
      <c r="X138" s="33">
        <v>46331</v>
      </c>
      <c r="Y138" s="36">
        <v>44</v>
      </c>
      <c r="Z138" s="36">
        <v>45</v>
      </c>
      <c r="AA138" s="25">
        <v>0</v>
      </c>
      <c r="AB138" s="37">
        <v>1</v>
      </c>
      <c r="AC138" s="38">
        <v>1</v>
      </c>
      <c r="AD138" s="39">
        <v>0</v>
      </c>
      <c r="AE138" s="39">
        <v>6073.36</v>
      </c>
      <c r="AF138" s="39">
        <v>0</v>
      </c>
      <c r="AG138" s="29">
        <v>1</v>
      </c>
      <c r="AH138" s="29">
        <v>1</v>
      </c>
      <c r="AI138" s="69">
        <v>1</v>
      </c>
      <c r="AJ138" s="46">
        <v>6073.36</v>
      </c>
    </row>
    <row r="139" spans="2:36">
      <c r="B139" s="62" t="s">
        <v>389</v>
      </c>
      <c r="C139" s="14" t="s">
        <v>206</v>
      </c>
      <c r="D139" s="16" t="s">
        <v>206</v>
      </c>
      <c r="E139" s="16" t="s">
        <v>74</v>
      </c>
      <c r="F139" s="16" t="s">
        <v>77</v>
      </c>
      <c r="G139" s="2" t="s">
        <v>339</v>
      </c>
      <c r="H139" s="43" t="s">
        <v>195</v>
      </c>
      <c r="I139" s="16" t="s">
        <v>142</v>
      </c>
      <c r="J139" s="17" t="s">
        <v>84</v>
      </c>
      <c r="K139" s="17">
        <v>1</v>
      </c>
      <c r="L139" s="18">
        <v>112859.944</v>
      </c>
      <c r="M139" s="30">
        <v>439242.12421499996</v>
      </c>
      <c r="N139" s="31">
        <v>641258.95527600008</v>
      </c>
      <c r="O139" s="32">
        <v>112859.944</v>
      </c>
      <c r="P139" s="32">
        <v>439242.12421499996</v>
      </c>
      <c r="Q139" s="32">
        <v>641258.95527600008</v>
      </c>
      <c r="R139" s="47">
        <v>6</v>
      </c>
      <c r="S139" s="21">
        <v>46324</v>
      </c>
      <c r="T139" s="33">
        <v>46330</v>
      </c>
      <c r="U139" s="34">
        <v>44</v>
      </c>
      <c r="V139" s="35">
        <v>45</v>
      </c>
      <c r="W139" s="33">
        <v>46324</v>
      </c>
      <c r="X139" s="33">
        <v>46332</v>
      </c>
      <c r="Y139" s="36">
        <v>44</v>
      </c>
      <c r="Z139" s="36">
        <v>45</v>
      </c>
      <c r="AA139" s="25">
        <v>0</v>
      </c>
      <c r="AB139" s="37">
        <v>0</v>
      </c>
      <c r="AC139" s="38">
        <v>0</v>
      </c>
      <c r="AD139" s="39">
        <v>0</v>
      </c>
      <c r="AE139" s="39">
        <v>0</v>
      </c>
      <c r="AF139" s="39">
        <v>0</v>
      </c>
      <c r="AG139" s="29">
        <v>0</v>
      </c>
      <c r="AH139" s="29">
        <v>0</v>
      </c>
      <c r="AI139" s="69">
        <v>0</v>
      </c>
      <c r="AJ139" s="46">
        <v>0</v>
      </c>
    </row>
    <row r="140" spans="2:36">
      <c r="B140" s="62" t="s">
        <v>389</v>
      </c>
      <c r="C140" s="14" t="s">
        <v>206</v>
      </c>
      <c r="D140" s="16" t="s">
        <v>206</v>
      </c>
      <c r="E140" s="16" t="s">
        <v>75</v>
      </c>
      <c r="F140" s="16" t="s">
        <v>58</v>
      </c>
      <c r="G140" s="2" t="s">
        <v>340</v>
      </c>
      <c r="H140" s="43" t="s">
        <v>145</v>
      </c>
      <c r="I140" s="16" t="s">
        <v>146</v>
      </c>
      <c r="J140" s="17" t="s">
        <v>92</v>
      </c>
      <c r="K140" s="17">
        <v>13</v>
      </c>
      <c r="L140" s="18">
        <v>296.00799999999998</v>
      </c>
      <c r="M140" s="30">
        <v>307.108</v>
      </c>
      <c r="N140" s="31">
        <v>563.79</v>
      </c>
      <c r="O140" s="32">
        <v>3848.1039999999998</v>
      </c>
      <c r="P140" s="32">
        <v>3992.404</v>
      </c>
      <c r="Q140" s="32">
        <v>7329.2699999999995</v>
      </c>
      <c r="R140" s="47">
        <v>4</v>
      </c>
      <c r="S140" s="21">
        <v>46325</v>
      </c>
      <c r="T140" s="33">
        <v>46329</v>
      </c>
      <c r="U140" s="34">
        <v>44</v>
      </c>
      <c r="V140" s="35">
        <v>45</v>
      </c>
      <c r="W140" s="33">
        <v>46326</v>
      </c>
      <c r="X140" s="33">
        <v>46331</v>
      </c>
      <c r="Y140" s="36">
        <v>44</v>
      </c>
      <c r="Z140" s="36">
        <v>45</v>
      </c>
      <c r="AA140" s="25">
        <v>0</v>
      </c>
      <c r="AB140" s="37">
        <v>0.76923076923076927</v>
      </c>
      <c r="AC140" s="38">
        <v>0.76923076923076927</v>
      </c>
      <c r="AD140" s="39">
        <v>0</v>
      </c>
      <c r="AE140" s="39">
        <v>5637.9</v>
      </c>
      <c r="AF140" s="39">
        <v>0</v>
      </c>
      <c r="AG140" s="29">
        <v>10</v>
      </c>
      <c r="AH140" s="29">
        <v>10</v>
      </c>
      <c r="AI140" s="69">
        <v>0.76923076923076927</v>
      </c>
      <c r="AJ140" s="46">
        <v>5637.9</v>
      </c>
    </row>
    <row r="141" spans="2:36">
      <c r="B141" s="62" t="s">
        <v>389</v>
      </c>
      <c r="C141" s="14" t="s">
        <v>206</v>
      </c>
      <c r="D141" s="16" t="s">
        <v>206</v>
      </c>
      <c r="E141" s="16" t="s">
        <v>75</v>
      </c>
      <c r="F141" s="16" t="s">
        <v>58</v>
      </c>
      <c r="G141" s="2" t="s">
        <v>341</v>
      </c>
      <c r="H141" s="43" t="s">
        <v>147</v>
      </c>
      <c r="I141" s="16" t="s">
        <v>148</v>
      </c>
      <c r="J141" s="17" t="s">
        <v>92</v>
      </c>
      <c r="K141" s="17">
        <v>13</v>
      </c>
      <c r="L141" s="18">
        <v>80</v>
      </c>
      <c r="M141" s="30">
        <v>83</v>
      </c>
      <c r="N141" s="31">
        <v>152.38</v>
      </c>
      <c r="O141" s="32">
        <v>1040</v>
      </c>
      <c r="P141" s="32">
        <v>1079</v>
      </c>
      <c r="Q141" s="32">
        <v>1980.94</v>
      </c>
      <c r="R141" s="47">
        <v>10</v>
      </c>
      <c r="S141" s="21">
        <v>46327</v>
      </c>
      <c r="T141" s="33">
        <v>46337</v>
      </c>
      <c r="U141" s="34">
        <v>44</v>
      </c>
      <c r="V141" s="35">
        <v>46</v>
      </c>
      <c r="W141" s="33"/>
      <c r="X141" s="33"/>
      <c r="Y141" s="36">
        <v>52</v>
      </c>
      <c r="Z141" s="36">
        <v>52</v>
      </c>
      <c r="AA141" s="25">
        <v>0</v>
      </c>
      <c r="AB141" s="37">
        <v>0.23076923076923078</v>
      </c>
      <c r="AC141" s="38">
        <v>0.23076923076923078</v>
      </c>
      <c r="AD141" s="39">
        <v>0</v>
      </c>
      <c r="AE141" s="39">
        <v>457.14000000000004</v>
      </c>
      <c r="AF141" s="39">
        <v>0</v>
      </c>
      <c r="AG141" s="29">
        <v>3</v>
      </c>
      <c r="AH141" s="29">
        <v>3</v>
      </c>
      <c r="AI141" s="69">
        <v>0.23076923076923078</v>
      </c>
      <c r="AJ141" s="46">
        <v>457.14</v>
      </c>
    </row>
    <row r="142" spans="2:36">
      <c r="B142" s="62" t="s">
        <v>389</v>
      </c>
      <c r="C142" s="14" t="s">
        <v>206</v>
      </c>
      <c r="D142" s="16" t="s">
        <v>206</v>
      </c>
      <c r="E142" s="16" t="s">
        <v>45</v>
      </c>
      <c r="F142" s="16" t="s">
        <v>57</v>
      </c>
      <c r="G142" s="2" t="s">
        <v>342</v>
      </c>
      <c r="H142" s="43" t="s">
        <v>149</v>
      </c>
      <c r="I142" s="16" t="s">
        <v>151</v>
      </c>
      <c r="J142" s="17" t="s">
        <v>92</v>
      </c>
      <c r="K142" s="17">
        <v>13</v>
      </c>
      <c r="L142" s="18">
        <v>2952.0080000000003</v>
      </c>
      <c r="M142" s="30">
        <v>3749.1280000000002</v>
      </c>
      <c r="N142" s="31">
        <v>6609.4</v>
      </c>
      <c r="O142" s="32">
        <v>38376.104000000007</v>
      </c>
      <c r="P142" s="32">
        <v>48738.664000000004</v>
      </c>
      <c r="Q142" s="32">
        <v>85922.2</v>
      </c>
      <c r="R142" s="47">
        <v>2</v>
      </c>
      <c r="S142" s="21">
        <v>46330</v>
      </c>
      <c r="T142" s="33">
        <v>46332</v>
      </c>
      <c r="U142" s="34">
        <v>45</v>
      </c>
      <c r="V142" s="35">
        <v>45</v>
      </c>
      <c r="W142" s="33"/>
      <c r="X142" s="33"/>
      <c r="Y142" s="36">
        <v>52</v>
      </c>
      <c r="Z142" s="36">
        <v>52</v>
      </c>
      <c r="AA142" s="25">
        <v>0</v>
      </c>
      <c r="AB142" s="37">
        <v>0.46153846153846156</v>
      </c>
      <c r="AC142" s="38">
        <v>0.46153846153846156</v>
      </c>
      <c r="AD142" s="39">
        <v>0</v>
      </c>
      <c r="AE142" s="39">
        <v>39656.400000000001</v>
      </c>
      <c r="AF142" s="39">
        <v>0</v>
      </c>
      <c r="AG142" s="29">
        <v>6</v>
      </c>
      <c r="AH142" s="29">
        <v>6</v>
      </c>
      <c r="AI142" s="69">
        <v>0.46153846153846156</v>
      </c>
      <c r="AJ142" s="46">
        <v>39656.399999999994</v>
      </c>
    </row>
    <row r="143" spans="2:36">
      <c r="B143" s="62" t="s">
        <v>389</v>
      </c>
      <c r="C143" s="14" t="s">
        <v>206</v>
      </c>
      <c r="D143" s="16" t="s">
        <v>206</v>
      </c>
      <c r="E143" s="16" t="s">
        <v>45</v>
      </c>
      <c r="F143" s="16" t="s">
        <v>57</v>
      </c>
      <c r="G143" s="2" t="s">
        <v>343</v>
      </c>
      <c r="H143" s="43" t="s">
        <v>158</v>
      </c>
      <c r="I143" s="16" t="s">
        <v>184</v>
      </c>
      <c r="J143" s="17" t="s">
        <v>92</v>
      </c>
      <c r="K143" s="17">
        <v>2</v>
      </c>
      <c r="L143" s="18">
        <v>3786.5839999999998</v>
      </c>
      <c r="M143" s="30">
        <v>4651.4039999999995</v>
      </c>
      <c r="N143" s="31">
        <v>8251.34</v>
      </c>
      <c r="O143" s="32">
        <v>7573.1679999999997</v>
      </c>
      <c r="P143" s="32">
        <v>9302.8079999999991</v>
      </c>
      <c r="Q143" s="32">
        <v>16502.68</v>
      </c>
      <c r="R143" s="47">
        <v>5</v>
      </c>
      <c r="S143" s="21">
        <v>46333</v>
      </c>
      <c r="T143" s="33">
        <v>46338</v>
      </c>
      <c r="U143" s="34">
        <v>45</v>
      </c>
      <c r="V143" s="35">
        <v>46</v>
      </c>
      <c r="W143" s="33"/>
      <c r="X143" s="33"/>
      <c r="Y143" s="36">
        <v>52</v>
      </c>
      <c r="Z143" s="36">
        <v>52</v>
      </c>
      <c r="AA143" s="25">
        <v>0</v>
      </c>
      <c r="AB143" s="37">
        <v>1</v>
      </c>
      <c r="AC143" s="38">
        <v>1</v>
      </c>
      <c r="AD143" s="39">
        <v>0</v>
      </c>
      <c r="AE143" s="39">
        <v>16502.68</v>
      </c>
      <c r="AF143" s="39">
        <v>0</v>
      </c>
      <c r="AG143" s="29">
        <v>2</v>
      </c>
      <c r="AH143" s="29">
        <v>2</v>
      </c>
      <c r="AI143" s="69">
        <v>1</v>
      </c>
      <c r="AJ143" s="46">
        <v>16502.68</v>
      </c>
    </row>
    <row r="144" spans="2:36">
      <c r="B144" s="62" t="s">
        <v>389</v>
      </c>
      <c r="C144" s="14" t="s">
        <v>206</v>
      </c>
      <c r="D144" s="16" t="s">
        <v>206</v>
      </c>
      <c r="E144" s="16" t="s">
        <v>45</v>
      </c>
      <c r="F144" s="16" t="s">
        <v>57</v>
      </c>
      <c r="G144" s="2" t="s">
        <v>344</v>
      </c>
      <c r="H144" s="43" t="s">
        <v>158</v>
      </c>
      <c r="I144" s="16" t="s">
        <v>185</v>
      </c>
      <c r="J144" s="17" t="s">
        <v>92</v>
      </c>
      <c r="K144" s="17">
        <v>1</v>
      </c>
      <c r="L144" s="18">
        <v>3786.5839999999998</v>
      </c>
      <c r="M144" s="30">
        <v>4651.4039999999995</v>
      </c>
      <c r="N144" s="31">
        <v>8251.34</v>
      </c>
      <c r="O144" s="32">
        <v>3786.5839999999998</v>
      </c>
      <c r="P144" s="32">
        <v>4651.4039999999995</v>
      </c>
      <c r="Q144" s="32">
        <v>8251.34</v>
      </c>
      <c r="R144" s="47">
        <v>9</v>
      </c>
      <c r="S144" s="21">
        <v>46334</v>
      </c>
      <c r="T144" s="33">
        <v>46343</v>
      </c>
      <c r="U144" s="34">
        <v>45</v>
      </c>
      <c r="V144" s="35">
        <v>47</v>
      </c>
      <c r="W144" s="33"/>
      <c r="X144" s="33"/>
      <c r="Y144" s="36">
        <v>52</v>
      </c>
      <c r="Z144" s="36">
        <v>52</v>
      </c>
      <c r="AA144" s="25">
        <v>0</v>
      </c>
      <c r="AB144" s="37">
        <v>1</v>
      </c>
      <c r="AC144" s="38">
        <v>1</v>
      </c>
      <c r="AD144" s="39">
        <v>0</v>
      </c>
      <c r="AE144" s="39">
        <v>8251.34</v>
      </c>
      <c r="AF144" s="39">
        <v>0</v>
      </c>
      <c r="AG144" s="29">
        <v>1</v>
      </c>
      <c r="AH144" s="29">
        <v>1</v>
      </c>
      <c r="AI144" s="69">
        <v>1</v>
      </c>
      <c r="AJ144" s="46">
        <v>8251.34</v>
      </c>
    </row>
    <row r="145" spans="2:36">
      <c r="B145" s="62" t="s">
        <v>389</v>
      </c>
      <c r="C145" s="14" t="s">
        <v>206</v>
      </c>
      <c r="D145" s="16" t="s">
        <v>206</v>
      </c>
      <c r="E145" s="16" t="s">
        <v>45</v>
      </c>
      <c r="F145" s="16" t="s">
        <v>57</v>
      </c>
      <c r="G145" s="2" t="s">
        <v>345</v>
      </c>
      <c r="H145" s="43" t="s">
        <v>158</v>
      </c>
      <c r="I145" s="16" t="s">
        <v>186</v>
      </c>
      <c r="J145" s="17" t="s">
        <v>92</v>
      </c>
      <c r="K145" s="17">
        <v>2</v>
      </c>
      <c r="L145" s="18">
        <v>3786.5839999999998</v>
      </c>
      <c r="M145" s="30">
        <v>4651.4039999999995</v>
      </c>
      <c r="N145" s="31">
        <v>8251.34</v>
      </c>
      <c r="O145" s="32">
        <v>7573.1679999999997</v>
      </c>
      <c r="P145" s="32">
        <v>9302.8079999999991</v>
      </c>
      <c r="Q145" s="32">
        <v>16502.68</v>
      </c>
      <c r="R145" s="47">
        <v>4</v>
      </c>
      <c r="S145" s="21">
        <v>46335</v>
      </c>
      <c r="T145" s="33">
        <v>46339</v>
      </c>
      <c r="U145" s="34">
        <v>46</v>
      </c>
      <c r="V145" s="35">
        <v>46</v>
      </c>
      <c r="W145" s="33"/>
      <c r="X145" s="33"/>
      <c r="Y145" s="36">
        <v>52</v>
      </c>
      <c r="Z145" s="36">
        <v>52</v>
      </c>
      <c r="AA145" s="25">
        <v>0</v>
      </c>
      <c r="AB145" s="37">
        <v>0.5</v>
      </c>
      <c r="AC145" s="38">
        <v>0.5</v>
      </c>
      <c r="AD145" s="39">
        <v>0</v>
      </c>
      <c r="AE145" s="39">
        <v>8251.34</v>
      </c>
      <c r="AF145" s="39">
        <v>0</v>
      </c>
      <c r="AG145" s="29">
        <v>1</v>
      </c>
      <c r="AH145" s="29">
        <v>1</v>
      </c>
      <c r="AI145" s="69">
        <v>0.5</v>
      </c>
      <c r="AJ145" s="46">
        <v>8251.34</v>
      </c>
    </row>
    <row r="146" spans="2:36">
      <c r="B146" s="62" t="s">
        <v>389</v>
      </c>
      <c r="C146" s="14" t="s">
        <v>206</v>
      </c>
      <c r="D146" s="16" t="s">
        <v>206</v>
      </c>
      <c r="E146" s="16" t="s">
        <v>75</v>
      </c>
      <c r="F146" s="16" t="s">
        <v>58</v>
      </c>
      <c r="G146" s="63" t="s">
        <v>346</v>
      </c>
      <c r="H146" s="65" t="s">
        <v>196</v>
      </c>
      <c r="I146" s="16" t="s">
        <v>144</v>
      </c>
      <c r="J146" s="67" t="s">
        <v>84</v>
      </c>
      <c r="K146" s="17">
        <v>1</v>
      </c>
      <c r="L146" s="18">
        <v>38155.184000000001</v>
      </c>
      <c r="M146" s="18">
        <v>377918.07520399999</v>
      </c>
      <c r="N146" s="19">
        <v>517512.12573500001</v>
      </c>
      <c r="O146" s="20">
        <v>38155.184000000001</v>
      </c>
      <c r="P146" s="20">
        <v>377918.07520399999</v>
      </c>
      <c r="Q146" s="20">
        <v>517512.12573500001</v>
      </c>
      <c r="R146" s="47">
        <v>7</v>
      </c>
      <c r="S146" s="21">
        <v>46336</v>
      </c>
      <c r="T146" s="21">
        <v>46343</v>
      </c>
      <c r="U146" s="22">
        <v>46</v>
      </c>
      <c r="V146" s="23">
        <v>47</v>
      </c>
      <c r="W146" s="33"/>
      <c r="X146" s="21"/>
      <c r="Y146" s="24">
        <v>52</v>
      </c>
      <c r="Z146" s="24">
        <v>52</v>
      </c>
      <c r="AA146" s="25">
        <v>0</v>
      </c>
      <c r="AB146" s="26">
        <v>0</v>
      </c>
      <c r="AC146" s="27">
        <v>0</v>
      </c>
      <c r="AD146" s="28">
        <v>0</v>
      </c>
      <c r="AE146" s="28">
        <v>0</v>
      </c>
      <c r="AF146" s="28">
        <v>0</v>
      </c>
      <c r="AG146" s="29">
        <v>0</v>
      </c>
      <c r="AH146" s="29">
        <v>0</v>
      </c>
      <c r="AI146" s="70">
        <v>0</v>
      </c>
      <c r="AJ146" s="28">
        <v>0</v>
      </c>
    </row>
    <row r="147" spans="2:36">
      <c r="B147" s="62" t="s">
        <v>389</v>
      </c>
      <c r="C147" s="63" t="s">
        <v>206</v>
      </c>
      <c r="D147" s="64" t="s">
        <v>206</v>
      </c>
      <c r="E147" s="64" t="s">
        <v>45</v>
      </c>
      <c r="F147" s="64" t="s">
        <v>76</v>
      </c>
      <c r="G147" s="63" t="s">
        <v>347</v>
      </c>
      <c r="H147" s="66" t="s">
        <v>160</v>
      </c>
      <c r="I147" s="64" t="s">
        <v>188</v>
      </c>
      <c r="J147" s="67" t="s">
        <v>92</v>
      </c>
      <c r="K147" s="67">
        <v>2</v>
      </c>
      <c r="L147" s="30">
        <v>2464</v>
      </c>
      <c r="M147" s="30">
        <v>8662.58</v>
      </c>
      <c r="N147" s="31">
        <v>13470.86</v>
      </c>
      <c r="O147" s="32">
        <v>4928</v>
      </c>
      <c r="P147" s="32">
        <v>17325.16</v>
      </c>
      <c r="Q147" s="32">
        <v>26941.72</v>
      </c>
      <c r="R147" s="47">
        <v>6</v>
      </c>
      <c r="S147" s="21">
        <v>46338</v>
      </c>
      <c r="T147" s="21">
        <v>46344</v>
      </c>
      <c r="U147" s="34">
        <v>46</v>
      </c>
      <c r="V147" s="35">
        <v>47</v>
      </c>
      <c r="W147" s="33"/>
      <c r="X147" s="21"/>
      <c r="Y147" s="36">
        <v>52</v>
      </c>
      <c r="Z147" s="36">
        <v>52</v>
      </c>
      <c r="AA147" s="68">
        <v>0</v>
      </c>
      <c r="AB147" s="37">
        <v>0.5</v>
      </c>
      <c r="AC147" s="38">
        <v>0.5</v>
      </c>
      <c r="AD147" s="39">
        <v>0</v>
      </c>
      <c r="AE147" s="39">
        <v>13470.86</v>
      </c>
      <c r="AF147" s="39">
        <v>0</v>
      </c>
      <c r="AG147" s="29">
        <v>1</v>
      </c>
      <c r="AH147" s="29">
        <v>1</v>
      </c>
      <c r="AI147" s="69">
        <v>0.5</v>
      </c>
      <c r="AJ147" s="39">
        <v>13470.86</v>
      </c>
    </row>
    <row r="148" spans="2:36">
      <c r="B148" s="62" t="s">
        <v>389</v>
      </c>
      <c r="C148" s="63" t="s">
        <v>206</v>
      </c>
      <c r="D148" s="64" t="s">
        <v>206</v>
      </c>
      <c r="E148" s="64" t="s">
        <v>45</v>
      </c>
      <c r="F148" s="64" t="s">
        <v>47</v>
      </c>
      <c r="G148" s="63" t="s">
        <v>348</v>
      </c>
      <c r="H148" s="66" t="s">
        <v>73</v>
      </c>
      <c r="I148" s="64" t="s">
        <v>189</v>
      </c>
      <c r="J148" s="67" t="s">
        <v>92</v>
      </c>
      <c r="K148" s="67">
        <v>2</v>
      </c>
      <c r="L148" s="30">
        <v>1859.992</v>
      </c>
      <c r="M148" s="30">
        <v>2791.922</v>
      </c>
      <c r="N148" s="31">
        <v>4782.1899999999996</v>
      </c>
      <c r="O148" s="32">
        <v>3719.9839999999999</v>
      </c>
      <c r="P148" s="32">
        <v>5583.8440000000001</v>
      </c>
      <c r="Q148" s="32">
        <v>9564.3799999999992</v>
      </c>
      <c r="R148" s="47">
        <v>10</v>
      </c>
      <c r="S148" s="21">
        <v>46339</v>
      </c>
      <c r="T148" s="21">
        <v>46349</v>
      </c>
      <c r="U148" s="34">
        <v>46</v>
      </c>
      <c r="V148" s="35">
        <v>48</v>
      </c>
      <c r="W148" s="33"/>
      <c r="X148" s="21"/>
      <c r="Y148" s="36">
        <v>52</v>
      </c>
      <c r="Z148" s="36">
        <v>52</v>
      </c>
      <c r="AA148" s="68">
        <v>0</v>
      </c>
      <c r="AB148" s="37">
        <v>0.5</v>
      </c>
      <c r="AC148" s="38">
        <v>0.5</v>
      </c>
      <c r="AD148" s="39">
        <v>0</v>
      </c>
      <c r="AE148" s="39">
        <v>4782.1899999999996</v>
      </c>
      <c r="AF148" s="39">
        <v>0</v>
      </c>
      <c r="AG148" s="29">
        <v>1</v>
      </c>
      <c r="AH148" s="29">
        <v>1</v>
      </c>
      <c r="AI148" s="69">
        <v>0.5</v>
      </c>
      <c r="AJ148" s="39">
        <v>4782.1899999999996</v>
      </c>
    </row>
    <row r="149" spans="2:36">
      <c r="B149" s="62" t="s">
        <v>389</v>
      </c>
      <c r="C149" s="63" t="s">
        <v>207</v>
      </c>
      <c r="D149" s="64" t="s">
        <v>207</v>
      </c>
      <c r="E149" s="64" t="s">
        <v>53</v>
      </c>
      <c r="F149" s="64" t="s">
        <v>55</v>
      </c>
      <c r="G149" s="63" t="s">
        <v>349</v>
      </c>
      <c r="H149" s="66" t="s">
        <v>62</v>
      </c>
      <c r="I149" s="64" t="s">
        <v>78</v>
      </c>
      <c r="J149" s="67" t="s">
        <v>79</v>
      </c>
      <c r="K149" s="67">
        <v>15</v>
      </c>
      <c r="L149" s="30">
        <v>30.408000000000001</v>
      </c>
      <c r="M149" s="30">
        <v>93.408000000000001</v>
      </c>
      <c r="N149" s="31">
        <v>146.83000000000001</v>
      </c>
      <c r="O149" s="32">
        <v>456.12</v>
      </c>
      <c r="P149" s="32">
        <v>1401.1200000000001</v>
      </c>
      <c r="Q149" s="32">
        <v>2202.4500000000003</v>
      </c>
      <c r="R149" s="47">
        <v>6</v>
      </c>
      <c r="S149" s="21">
        <v>46340</v>
      </c>
      <c r="T149" s="21">
        <v>46346</v>
      </c>
      <c r="U149" s="34">
        <v>46</v>
      </c>
      <c r="V149" s="35">
        <v>47</v>
      </c>
      <c r="W149" s="33"/>
      <c r="X149" s="21"/>
      <c r="Y149" s="36">
        <v>52</v>
      </c>
      <c r="Z149" s="36">
        <v>52</v>
      </c>
      <c r="AA149" s="68">
        <v>0</v>
      </c>
      <c r="AB149" s="37">
        <v>0.8666666666666667</v>
      </c>
      <c r="AC149" s="38">
        <v>0.8666666666666667</v>
      </c>
      <c r="AD149" s="39">
        <v>0</v>
      </c>
      <c r="AE149" s="39">
        <v>1908.7900000000002</v>
      </c>
      <c r="AF149" s="39">
        <v>0</v>
      </c>
      <c r="AG149" s="29">
        <v>13</v>
      </c>
      <c r="AH149" s="29">
        <v>13</v>
      </c>
      <c r="AI149" s="69">
        <v>0.8666666666666667</v>
      </c>
      <c r="AJ149" s="39">
        <v>1908.7900000000002</v>
      </c>
    </row>
    <row r="150" spans="2:36">
      <c r="B150" s="62" t="s">
        <v>389</v>
      </c>
      <c r="C150" s="63" t="s">
        <v>207</v>
      </c>
      <c r="D150" s="64" t="s">
        <v>207</v>
      </c>
      <c r="E150" s="64" t="s">
        <v>53</v>
      </c>
      <c r="F150" s="64" t="s">
        <v>55</v>
      </c>
      <c r="G150" s="63" t="s">
        <v>350</v>
      </c>
      <c r="H150" s="66" t="s">
        <v>60</v>
      </c>
      <c r="I150" s="64" t="s">
        <v>80</v>
      </c>
      <c r="J150" s="67" t="s">
        <v>79</v>
      </c>
      <c r="K150" s="67">
        <v>66</v>
      </c>
      <c r="L150" s="30">
        <v>30.408000000000001</v>
      </c>
      <c r="M150" s="30">
        <v>107.27800000000001</v>
      </c>
      <c r="N150" s="31">
        <v>166.76</v>
      </c>
      <c r="O150" s="32">
        <v>2006.9280000000001</v>
      </c>
      <c r="P150" s="32">
        <v>7080.348</v>
      </c>
      <c r="Q150" s="32">
        <v>11006.16</v>
      </c>
      <c r="R150" s="47">
        <v>6</v>
      </c>
      <c r="S150" s="21">
        <v>46342</v>
      </c>
      <c r="T150" s="21">
        <v>46348</v>
      </c>
      <c r="U150" s="34">
        <v>47</v>
      </c>
      <c r="V150" s="35">
        <v>47</v>
      </c>
      <c r="W150" s="33"/>
      <c r="X150" s="21"/>
      <c r="Y150" s="36">
        <v>52</v>
      </c>
      <c r="Z150" s="36">
        <v>52</v>
      </c>
      <c r="AA150" s="68">
        <v>0</v>
      </c>
      <c r="AB150" s="37">
        <v>0.15151515151515152</v>
      </c>
      <c r="AC150" s="38">
        <v>0.15151515151515152</v>
      </c>
      <c r="AD150" s="39">
        <v>0</v>
      </c>
      <c r="AE150" s="39">
        <v>1667.6000000000001</v>
      </c>
      <c r="AF150" s="39">
        <v>0</v>
      </c>
      <c r="AG150" s="29">
        <v>10</v>
      </c>
      <c r="AH150" s="29">
        <v>10</v>
      </c>
      <c r="AI150" s="69">
        <v>0.15151515151515152</v>
      </c>
      <c r="AJ150" s="39">
        <v>1667.6</v>
      </c>
    </row>
    <row r="151" spans="2:36">
      <c r="B151" s="62" t="s">
        <v>389</v>
      </c>
      <c r="C151" s="63" t="s">
        <v>207</v>
      </c>
      <c r="D151" s="64" t="s">
        <v>207</v>
      </c>
      <c r="E151" s="64" t="s">
        <v>53</v>
      </c>
      <c r="F151" s="64" t="s">
        <v>55</v>
      </c>
      <c r="G151" s="63" t="s">
        <v>351</v>
      </c>
      <c r="H151" s="66" t="s">
        <v>61</v>
      </c>
      <c r="I151" s="64" t="s">
        <v>81</v>
      </c>
      <c r="J151" s="67" t="s">
        <v>79</v>
      </c>
      <c r="K151" s="67">
        <v>33</v>
      </c>
      <c r="L151" s="30">
        <v>30.408000000000001</v>
      </c>
      <c r="M151" s="30">
        <v>114.318</v>
      </c>
      <c r="N151" s="31">
        <v>176.88</v>
      </c>
      <c r="O151" s="32">
        <v>1003.4640000000001</v>
      </c>
      <c r="P151" s="32">
        <v>3772.4940000000001</v>
      </c>
      <c r="Q151" s="32">
        <v>5837.04</v>
      </c>
      <c r="R151" s="47">
        <v>6</v>
      </c>
      <c r="S151" s="21">
        <v>46343</v>
      </c>
      <c r="T151" s="21">
        <v>46349</v>
      </c>
      <c r="U151" s="34">
        <v>47</v>
      </c>
      <c r="V151" s="35">
        <v>48</v>
      </c>
      <c r="W151" s="33"/>
      <c r="X151" s="21"/>
      <c r="Y151" s="36">
        <v>52</v>
      </c>
      <c r="Z151" s="36">
        <v>52</v>
      </c>
      <c r="AA151" s="68">
        <v>0</v>
      </c>
      <c r="AB151" s="37">
        <v>0.27272727272727271</v>
      </c>
      <c r="AC151" s="38">
        <v>0.27272727272727271</v>
      </c>
      <c r="AD151" s="39">
        <v>0</v>
      </c>
      <c r="AE151" s="39">
        <v>1591.9199999999998</v>
      </c>
      <c r="AF151" s="39">
        <v>0</v>
      </c>
      <c r="AG151" s="29">
        <v>9</v>
      </c>
      <c r="AH151" s="29">
        <v>9</v>
      </c>
      <c r="AI151" s="69">
        <v>0.27272727272727271</v>
      </c>
      <c r="AJ151" s="39">
        <v>1591.92</v>
      </c>
    </row>
    <row r="152" spans="2:36">
      <c r="B152" s="62" t="s">
        <v>389</v>
      </c>
      <c r="C152" s="63" t="s">
        <v>207</v>
      </c>
      <c r="D152" s="64" t="s">
        <v>207</v>
      </c>
      <c r="E152" s="64" t="s">
        <v>58</v>
      </c>
      <c r="F152" s="64" t="s">
        <v>208</v>
      </c>
      <c r="G152" s="63" t="s">
        <v>352</v>
      </c>
      <c r="H152" s="66" t="s">
        <v>197</v>
      </c>
      <c r="I152" s="64" t="s">
        <v>83</v>
      </c>
      <c r="J152" s="67" t="s">
        <v>84</v>
      </c>
      <c r="K152" s="67">
        <v>1</v>
      </c>
      <c r="L152" s="30">
        <v>12718.392</v>
      </c>
      <c r="M152" s="30">
        <v>13195.332</v>
      </c>
      <c r="N152" s="31">
        <v>24224.58</v>
      </c>
      <c r="O152" s="32">
        <v>12718.392</v>
      </c>
      <c r="P152" s="32">
        <v>13195.332</v>
      </c>
      <c r="Q152" s="32">
        <v>24224.58</v>
      </c>
      <c r="R152" s="47">
        <v>7</v>
      </c>
      <c r="S152" s="21">
        <v>46345</v>
      </c>
      <c r="T152" s="21">
        <v>46352</v>
      </c>
      <c r="U152" s="34">
        <v>47</v>
      </c>
      <c r="V152" s="35">
        <v>48</v>
      </c>
      <c r="W152" s="33"/>
      <c r="X152" s="21"/>
      <c r="Y152" s="36">
        <v>52</v>
      </c>
      <c r="Z152" s="36">
        <v>52</v>
      </c>
      <c r="AA152" s="68">
        <v>0</v>
      </c>
      <c r="AB152" s="37">
        <v>1</v>
      </c>
      <c r="AC152" s="38">
        <v>1</v>
      </c>
      <c r="AD152" s="39">
        <v>0</v>
      </c>
      <c r="AE152" s="39">
        <v>24224.58</v>
      </c>
      <c r="AF152" s="39">
        <v>0</v>
      </c>
      <c r="AG152" s="29">
        <v>1</v>
      </c>
      <c r="AH152" s="29">
        <v>1</v>
      </c>
      <c r="AI152" s="69">
        <v>1</v>
      </c>
      <c r="AJ152" s="39">
        <v>24224.58</v>
      </c>
    </row>
    <row r="153" spans="2:36">
      <c r="B153" s="62" t="s">
        <v>389</v>
      </c>
      <c r="C153" s="63" t="s">
        <v>207</v>
      </c>
      <c r="D153" s="64" t="s">
        <v>207</v>
      </c>
      <c r="E153" s="64" t="s">
        <v>53</v>
      </c>
      <c r="F153" s="64" t="s">
        <v>56</v>
      </c>
      <c r="G153" s="63" t="s">
        <v>353</v>
      </c>
      <c r="H153" s="66" t="s">
        <v>198</v>
      </c>
      <c r="I153" s="64" t="s">
        <v>86</v>
      </c>
      <c r="J153" s="67" t="s">
        <v>84</v>
      </c>
      <c r="K153" s="67">
        <v>1</v>
      </c>
      <c r="L153" s="30">
        <v>0</v>
      </c>
      <c r="M153" s="30">
        <v>28</v>
      </c>
      <c r="N153" s="31">
        <v>40.25</v>
      </c>
      <c r="O153" s="32">
        <v>0</v>
      </c>
      <c r="P153" s="32">
        <v>28</v>
      </c>
      <c r="Q153" s="32">
        <v>40.25</v>
      </c>
      <c r="R153" s="47">
        <v>10</v>
      </c>
      <c r="S153" s="21">
        <v>46347</v>
      </c>
      <c r="T153" s="21">
        <v>46357</v>
      </c>
      <c r="U153" s="34">
        <v>47</v>
      </c>
      <c r="V153" s="35">
        <v>49</v>
      </c>
      <c r="W153" s="33"/>
      <c r="X153" s="21"/>
      <c r="Y153" s="36">
        <v>52</v>
      </c>
      <c r="Z153" s="36">
        <v>52</v>
      </c>
      <c r="AA153" s="68">
        <v>0</v>
      </c>
      <c r="AB153" s="37">
        <v>0</v>
      </c>
      <c r="AC153" s="38">
        <v>0</v>
      </c>
      <c r="AD153" s="39">
        <v>0</v>
      </c>
      <c r="AE153" s="39">
        <v>0</v>
      </c>
      <c r="AF153" s="39">
        <v>0</v>
      </c>
      <c r="AG153" s="29">
        <v>0</v>
      </c>
      <c r="AH153" s="29">
        <v>0</v>
      </c>
      <c r="AI153" s="69">
        <v>0</v>
      </c>
      <c r="AJ153" s="39">
        <v>0</v>
      </c>
    </row>
    <row r="154" spans="2:36">
      <c r="B154" s="62" t="s">
        <v>389</v>
      </c>
      <c r="C154" s="63" t="s">
        <v>207</v>
      </c>
      <c r="D154" s="64" t="s">
        <v>207</v>
      </c>
      <c r="E154" s="64" t="s">
        <v>53</v>
      </c>
      <c r="F154" s="64" t="s">
        <v>54</v>
      </c>
      <c r="G154" s="63" t="s">
        <v>354</v>
      </c>
      <c r="H154" s="66" t="s">
        <v>199</v>
      </c>
      <c r="I154" s="64" t="s">
        <v>88</v>
      </c>
      <c r="J154" s="67" t="s">
        <v>59</v>
      </c>
      <c r="K154" s="67">
        <v>762.45</v>
      </c>
      <c r="L154" s="30">
        <v>213.24</v>
      </c>
      <c r="M154" s="30">
        <v>569.37390600000003</v>
      </c>
      <c r="N154" s="31">
        <v>851.07297300000005</v>
      </c>
      <c r="O154" s="32">
        <v>162584.83800000002</v>
      </c>
      <c r="P154" s="32">
        <v>434119.13462970004</v>
      </c>
      <c r="Q154" s="32">
        <v>648900.58826385008</v>
      </c>
      <c r="R154" s="47">
        <v>3</v>
      </c>
      <c r="S154" s="21">
        <v>46349</v>
      </c>
      <c r="T154" s="21">
        <v>46352</v>
      </c>
      <c r="U154" s="34">
        <v>48</v>
      </c>
      <c r="V154" s="35">
        <v>48</v>
      </c>
      <c r="W154" s="33"/>
      <c r="X154" s="21"/>
      <c r="Y154" s="36">
        <v>52</v>
      </c>
      <c r="Z154" s="36">
        <v>52</v>
      </c>
      <c r="AA154" s="68">
        <v>0</v>
      </c>
      <c r="AB154" s="37">
        <v>0.3305134762935274</v>
      </c>
      <c r="AC154" s="38">
        <v>0.3305134762935274</v>
      </c>
      <c r="AD154" s="39">
        <v>0</v>
      </c>
      <c r="AE154" s="39">
        <v>214470.389196</v>
      </c>
      <c r="AF154" s="39">
        <v>0</v>
      </c>
      <c r="AG154" s="29">
        <v>252</v>
      </c>
      <c r="AH154" s="29">
        <v>252</v>
      </c>
      <c r="AI154" s="69">
        <v>0.3305134762935274</v>
      </c>
      <c r="AJ154" s="39">
        <v>214470.389196</v>
      </c>
    </row>
    <row r="155" spans="2:36">
      <c r="B155" s="62" t="s">
        <v>389</v>
      </c>
      <c r="C155" s="63" t="s">
        <v>207</v>
      </c>
      <c r="D155" s="64" t="s">
        <v>207</v>
      </c>
      <c r="E155" s="64" t="s">
        <v>53</v>
      </c>
      <c r="F155" s="64" t="s">
        <v>55</v>
      </c>
      <c r="G155" s="63" t="s">
        <v>355</v>
      </c>
      <c r="H155" s="66" t="s">
        <v>200</v>
      </c>
      <c r="I155" s="64" t="s">
        <v>90</v>
      </c>
      <c r="J155" s="67" t="s">
        <v>84</v>
      </c>
      <c r="K155" s="67">
        <v>1</v>
      </c>
      <c r="L155" s="30">
        <v>0</v>
      </c>
      <c r="M155" s="30">
        <v>38884.949999999997</v>
      </c>
      <c r="N155" s="31">
        <v>55897.120000000003</v>
      </c>
      <c r="O155" s="32">
        <v>0</v>
      </c>
      <c r="P155" s="32">
        <v>38884.949999999997</v>
      </c>
      <c r="Q155" s="32">
        <v>55897.120000000003</v>
      </c>
      <c r="R155" s="47">
        <v>7</v>
      </c>
      <c r="S155" s="21">
        <v>46352</v>
      </c>
      <c r="T155" s="21">
        <v>46359</v>
      </c>
      <c r="U155" s="34">
        <v>48</v>
      </c>
      <c r="V155" s="35">
        <v>49</v>
      </c>
      <c r="W155" s="33"/>
      <c r="X155" s="21"/>
      <c r="Y155" s="36">
        <v>52</v>
      </c>
      <c r="Z155" s="36">
        <v>52</v>
      </c>
      <c r="AA155" s="68">
        <v>0</v>
      </c>
      <c r="AB155" s="37">
        <v>1</v>
      </c>
      <c r="AC155" s="38">
        <v>1</v>
      </c>
      <c r="AD155" s="39">
        <v>0</v>
      </c>
      <c r="AE155" s="39">
        <v>55897.120000000003</v>
      </c>
      <c r="AF155" s="39">
        <v>0</v>
      </c>
      <c r="AG155" s="29">
        <v>1</v>
      </c>
      <c r="AH155" s="29">
        <v>1</v>
      </c>
      <c r="AI155" s="69">
        <v>1</v>
      </c>
      <c r="AJ155" s="39">
        <v>55897.120000000003</v>
      </c>
    </row>
    <row r="156" spans="2:36">
      <c r="B156" s="62" t="s">
        <v>389</v>
      </c>
      <c r="C156" s="63" t="s">
        <v>207</v>
      </c>
      <c r="D156" s="64" t="s">
        <v>207</v>
      </c>
      <c r="E156" s="64" t="s">
        <v>53</v>
      </c>
      <c r="F156" s="64" t="s">
        <v>56</v>
      </c>
      <c r="G156" s="63" t="s">
        <v>356</v>
      </c>
      <c r="H156" s="66" t="s">
        <v>65</v>
      </c>
      <c r="I156" s="64" t="s">
        <v>91</v>
      </c>
      <c r="J156" s="67" t="s">
        <v>92</v>
      </c>
      <c r="K156" s="67">
        <v>4</v>
      </c>
      <c r="L156" s="30">
        <v>256</v>
      </c>
      <c r="M156" s="30">
        <v>1256</v>
      </c>
      <c r="N156" s="31">
        <v>1911.3</v>
      </c>
      <c r="O156" s="32">
        <v>1024</v>
      </c>
      <c r="P156" s="32">
        <v>5024</v>
      </c>
      <c r="Q156" s="32">
        <v>7645.2</v>
      </c>
      <c r="R156" s="47">
        <v>5</v>
      </c>
      <c r="S156" s="21">
        <v>46353</v>
      </c>
      <c r="T156" s="21">
        <v>46358</v>
      </c>
      <c r="U156" s="34">
        <v>48</v>
      </c>
      <c r="V156" s="35">
        <v>49</v>
      </c>
      <c r="W156" s="33"/>
      <c r="X156" s="21"/>
      <c r="Y156" s="36">
        <v>52</v>
      </c>
      <c r="Z156" s="36">
        <v>52</v>
      </c>
      <c r="AA156" s="68">
        <v>0</v>
      </c>
      <c r="AB156" s="37">
        <v>0.75</v>
      </c>
      <c r="AC156" s="38">
        <v>0.75</v>
      </c>
      <c r="AD156" s="39">
        <v>0</v>
      </c>
      <c r="AE156" s="39">
        <v>5733.9</v>
      </c>
      <c r="AF156" s="39">
        <v>0</v>
      </c>
      <c r="AG156" s="29">
        <v>3</v>
      </c>
      <c r="AH156" s="29">
        <v>3</v>
      </c>
      <c r="AI156" s="69">
        <v>0.75</v>
      </c>
      <c r="AJ156" s="39">
        <v>5733.9</v>
      </c>
    </row>
    <row r="157" spans="2:36">
      <c r="B157" s="62" t="s">
        <v>389</v>
      </c>
      <c r="C157" s="63" t="s">
        <v>207</v>
      </c>
      <c r="D157" s="64" t="s">
        <v>207</v>
      </c>
      <c r="E157" s="64" t="s">
        <v>53</v>
      </c>
      <c r="F157" s="64" t="s">
        <v>56</v>
      </c>
      <c r="G157" s="63" t="s">
        <v>357</v>
      </c>
      <c r="H157" s="66" t="s">
        <v>64</v>
      </c>
      <c r="I157" s="64" t="s">
        <v>93</v>
      </c>
      <c r="J157" s="67" t="s">
        <v>92</v>
      </c>
      <c r="K157" s="67">
        <v>11</v>
      </c>
      <c r="L157" s="30">
        <v>256</v>
      </c>
      <c r="M157" s="30">
        <v>1256</v>
      </c>
      <c r="N157" s="31">
        <v>1911.3</v>
      </c>
      <c r="O157" s="32">
        <v>2816</v>
      </c>
      <c r="P157" s="32">
        <v>13816</v>
      </c>
      <c r="Q157" s="32">
        <v>21024.3</v>
      </c>
      <c r="R157" s="47">
        <v>10</v>
      </c>
      <c r="S157" s="21">
        <v>46355</v>
      </c>
      <c r="T157" s="21">
        <v>46365</v>
      </c>
      <c r="U157" s="34">
        <v>48</v>
      </c>
      <c r="V157" s="35">
        <v>50</v>
      </c>
      <c r="W157" s="33"/>
      <c r="X157" s="21"/>
      <c r="Y157" s="36">
        <v>52</v>
      </c>
      <c r="Z157" s="36">
        <v>52</v>
      </c>
      <c r="AA157" s="68">
        <v>0</v>
      </c>
      <c r="AB157" s="37">
        <v>0.36363636363636365</v>
      </c>
      <c r="AC157" s="38">
        <v>0.36363636363636365</v>
      </c>
      <c r="AD157" s="39">
        <v>0</v>
      </c>
      <c r="AE157" s="39">
        <v>7645.2</v>
      </c>
      <c r="AF157" s="39">
        <v>0</v>
      </c>
      <c r="AG157" s="29">
        <v>4</v>
      </c>
      <c r="AH157" s="29">
        <v>4</v>
      </c>
      <c r="AI157" s="69">
        <v>0.36363636363636365</v>
      </c>
      <c r="AJ157" s="39">
        <v>7645.2</v>
      </c>
    </row>
    <row r="158" spans="2:36">
      <c r="B158" s="62" t="s">
        <v>389</v>
      </c>
      <c r="C158" s="63" t="s">
        <v>207</v>
      </c>
      <c r="D158" s="64" t="s">
        <v>207</v>
      </c>
      <c r="E158" s="64" t="s">
        <v>53</v>
      </c>
      <c r="F158" s="64" t="s">
        <v>56</v>
      </c>
      <c r="G158" s="63" t="s">
        <v>358</v>
      </c>
      <c r="H158" s="66" t="s">
        <v>67</v>
      </c>
      <c r="I158" s="64" t="s">
        <v>94</v>
      </c>
      <c r="J158" s="67" t="s">
        <v>92</v>
      </c>
      <c r="K158" s="67">
        <v>2</v>
      </c>
      <c r="L158" s="30">
        <v>256</v>
      </c>
      <c r="M158" s="30">
        <v>1256</v>
      </c>
      <c r="N158" s="31">
        <v>1911.3</v>
      </c>
      <c r="O158" s="32">
        <v>512</v>
      </c>
      <c r="P158" s="32">
        <v>2512</v>
      </c>
      <c r="Q158" s="32">
        <v>3822.6</v>
      </c>
      <c r="R158" s="47">
        <v>6</v>
      </c>
      <c r="S158" s="21">
        <v>46357</v>
      </c>
      <c r="T158" s="21">
        <v>46363</v>
      </c>
      <c r="U158" s="34">
        <v>49</v>
      </c>
      <c r="V158" s="35">
        <v>50</v>
      </c>
      <c r="W158" s="33"/>
      <c r="X158" s="21"/>
      <c r="Y158" s="36">
        <v>52</v>
      </c>
      <c r="Z158" s="36">
        <v>52</v>
      </c>
      <c r="AA158" s="68">
        <v>0</v>
      </c>
      <c r="AB158" s="37">
        <v>0</v>
      </c>
      <c r="AC158" s="38">
        <v>0</v>
      </c>
      <c r="AD158" s="39">
        <v>0</v>
      </c>
      <c r="AE158" s="39">
        <v>0</v>
      </c>
      <c r="AF158" s="39">
        <v>0</v>
      </c>
      <c r="AG158" s="29">
        <v>0</v>
      </c>
      <c r="AH158" s="29">
        <v>0</v>
      </c>
      <c r="AI158" s="69">
        <v>0</v>
      </c>
      <c r="AJ158" s="39">
        <v>0</v>
      </c>
    </row>
    <row r="159" spans="2:36">
      <c r="B159" s="62" t="s">
        <v>389</v>
      </c>
      <c r="C159" s="63" t="s">
        <v>207</v>
      </c>
      <c r="D159" s="64" t="s">
        <v>207</v>
      </c>
      <c r="E159" s="64" t="s">
        <v>53</v>
      </c>
      <c r="F159" s="64" t="s">
        <v>56</v>
      </c>
      <c r="G159" s="63" t="s">
        <v>359</v>
      </c>
      <c r="H159" s="66" t="s">
        <v>65</v>
      </c>
      <c r="I159" s="64" t="s">
        <v>95</v>
      </c>
      <c r="J159" s="67" t="s">
        <v>92</v>
      </c>
      <c r="K159" s="67">
        <v>5</v>
      </c>
      <c r="L159" s="30">
        <v>256</v>
      </c>
      <c r="M159" s="30">
        <v>1256</v>
      </c>
      <c r="N159" s="31">
        <v>1911.3</v>
      </c>
      <c r="O159" s="32">
        <v>1280</v>
      </c>
      <c r="P159" s="32">
        <v>6280</v>
      </c>
      <c r="Q159" s="32">
        <v>9556.5</v>
      </c>
      <c r="R159" s="47">
        <v>3</v>
      </c>
      <c r="S159" s="21">
        <v>46358</v>
      </c>
      <c r="T159" s="21">
        <v>46361</v>
      </c>
      <c r="U159" s="34">
        <v>49</v>
      </c>
      <c r="V159" s="35">
        <v>49</v>
      </c>
      <c r="W159" s="33"/>
      <c r="X159" s="21"/>
      <c r="Y159" s="36">
        <v>52</v>
      </c>
      <c r="Z159" s="36">
        <v>52</v>
      </c>
      <c r="AA159" s="68">
        <v>0</v>
      </c>
      <c r="AB159" s="37">
        <v>1</v>
      </c>
      <c r="AC159" s="38">
        <v>1</v>
      </c>
      <c r="AD159" s="39">
        <v>0</v>
      </c>
      <c r="AE159" s="39">
        <v>9556.5</v>
      </c>
      <c r="AF159" s="39">
        <v>0</v>
      </c>
      <c r="AG159" s="29">
        <v>5</v>
      </c>
      <c r="AH159" s="29">
        <v>5</v>
      </c>
      <c r="AI159" s="69">
        <v>1</v>
      </c>
      <c r="AJ159" s="39">
        <v>9556.5</v>
      </c>
    </row>
    <row r="160" spans="2:36">
      <c r="B160" s="62" t="s">
        <v>389</v>
      </c>
      <c r="C160" s="63" t="s">
        <v>207</v>
      </c>
      <c r="D160" s="64" t="s">
        <v>207</v>
      </c>
      <c r="E160" s="64" t="s">
        <v>53</v>
      </c>
      <c r="F160" s="64" t="s">
        <v>56</v>
      </c>
      <c r="G160" s="63" t="s">
        <v>360</v>
      </c>
      <c r="H160" s="66" t="s">
        <v>64</v>
      </c>
      <c r="I160" s="64" t="s">
        <v>96</v>
      </c>
      <c r="J160" s="67" t="s">
        <v>92</v>
      </c>
      <c r="K160" s="67">
        <v>9</v>
      </c>
      <c r="L160" s="30">
        <v>256</v>
      </c>
      <c r="M160" s="30">
        <v>1256</v>
      </c>
      <c r="N160" s="31">
        <v>1911.3</v>
      </c>
      <c r="O160" s="32">
        <v>2304</v>
      </c>
      <c r="P160" s="32">
        <v>11304</v>
      </c>
      <c r="Q160" s="32">
        <v>17201.7</v>
      </c>
      <c r="R160" s="47">
        <v>4</v>
      </c>
      <c r="S160" s="21">
        <v>46361</v>
      </c>
      <c r="T160" s="21">
        <v>46365</v>
      </c>
      <c r="U160" s="34">
        <v>49</v>
      </c>
      <c r="V160" s="35">
        <v>50</v>
      </c>
      <c r="W160" s="33"/>
      <c r="X160" s="21"/>
      <c r="Y160" s="36">
        <v>52</v>
      </c>
      <c r="Z160" s="36">
        <v>52</v>
      </c>
      <c r="AA160" s="68">
        <v>0</v>
      </c>
      <c r="AB160" s="37">
        <v>0.44444444444444442</v>
      </c>
      <c r="AC160" s="38">
        <v>0.44444444444444442</v>
      </c>
      <c r="AD160" s="39">
        <v>0</v>
      </c>
      <c r="AE160" s="39">
        <v>7645.2</v>
      </c>
      <c r="AF160" s="39">
        <v>0</v>
      </c>
      <c r="AG160" s="29">
        <v>4</v>
      </c>
      <c r="AH160" s="29">
        <v>4</v>
      </c>
      <c r="AI160" s="69">
        <v>0.44444444444444442</v>
      </c>
      <c r="AJ160" s="39">
        <v>7645.2</v>
      </c>
    </row>
    <row r="161" spans="2:36">
      <c r="B161" s="62" t="s">
        <v>389</v>
      </c>
      <c r="C161" s="63" t="s">
        <v>207</v>
      </c>
      <c r="D161" s="64" t="s">
        <v>207</v>
      </c>
      <c r="E161" s="64" t="s">
        <v>53</v>
      </c>
      <c r="F161" s="64" t="s">
        <v>56</v>
      </c>
      <c r="G161" s="63" t="s">
        <v>361</v>
      </c>
      <c r="H161" s="66" t="s">
        <v>71</v>
      </c>
      <c r="I161" s="64" t="s">
        <v>97</v>
      </c>
      <c r="J161" s="67" t="s">
        <v>92</v>
      </c>
      <c r="K161" s="67">
        <v>14</v>
      </c>
      <c r="L161" s="30">
        <v>212</v>
      </c>
      <c r="M161" s="30">
        <v>344.74</v>
      </c>
      <c r="N161" s="31">
        <v>583.17999999999995</v>
      </c>
      <c r="O161" s="32">
        <v>2968</v>
      </c>
      <c r="P161" s="32">
        <v>4826.3600000000006</v>
      </c>
      <c r="Q161" s="32">
        <v>8164.5199999999995</v>
      </c>
      <c r="R161" s="47">
        <v>8</v>
      </c>
      <c r="S161" s="21">
        <v>46362</v>
      </c>
      <c r="T161" s="21">
        <v>46370</v>
      </c>
      <c r="U161" s="34">
        <v>49</v>
      </c>
      <c r="V161" s="35">
        <v>51</v>
      </c>
      <c r="W161" s="33"/>
      <c r="X161" s="21"/>
      <c r="Y161" s="36">
        <v>52</v>
      </c>
      <c r="Z161" s="36">
        <v>52</v>
      </c>
      <c r="AA161" s="68">
        <v>0</v>
      </c>
      <c r="AB161" s="37">
        <v>0</v>
      </c>
      <c r="AC161" s="38">
        <v>0</v>
      </c>
      <c r="AD161" s="39">
        <v>0</v>
      </c>
      <c r="AE161" s="39">
        <v>0</v>
      </c>
      <c r="AF161" s="39">
        <v>0</v>
      </c>
      <c r="AG161" s="29">
        <v>0</v>
      </c>
      <c r="AH161" s="29">
        <v>0</v>
      </c>
      <c r="AI161" s="69">
        <v>0</v>
      </c>
      <c r="AJ161" s="39">
        <v>0</v>
      </c>
    </row>
    <row r="162" spans="2:36">
      <c r="B162" s="62" t="s">
        <v>389</v>
      </c>
      <c r="C162" s="63" t="s">
        <v>207</v>
      </c>
      <c r="D162" s="64" t="s">
        <v>207</v>
      </c>
      <c r="E162" s="64" t="s">
        <v>53</v>
      </c>
      <c r="F162" s="64" t="s">
        <v>56</v>
      </c>
      <c r="G162" s="63" t="s">
        <v>362</v>
      </c>
      <c r="H162" s="66" t="s">
        <v>98</v>
      </c>
      <c r="I162" s="64" t="s">
        <v>99</v>
      </c>
      <c r="J162" s="67" t="s">
        <v>92</v>
      </c>
      <c r="K162" s="67">
        <v>1</v>
      </c>
      <c r="L162" s="30">
        <v>529.93600000000004</v>
      </c>
      <c r="M162" s="30">
        <v>3443.0860000000002</v>
      </c>
      <c r="N162" s="31">
        <v>5168.45</v>
      </c>
      <c r="O162" s="32">
        <v>529.93600000000004</v>
      </c>
      <c r="P162" s="32">
        <v>3443.0860000000002</v>
      </c>
      <c r="Q162" s="32">
        <v>5168.45</v>
      </c>
      <c r="R162" s="47">
        <v>6</v>
      </c>
      <c r="S162" s="21">
        <v>46365</v>
      </c>
      <c r="T162" s="21">
        <v>46371</v>
      </c>
      <c r="U162" s="34">
        <v>50</v>
      </c>
      <c r="V162" s="35">
        <v>51</v>
      </c>
      <c r="W162" s="33"/>
      <c r="X162" s="21"/>
      <c r="Y162" s="36">
        <v>52</v>
      </c>
      <c r="Z162" s="36">
        <v>52</v>
      </c>
      <c r="AA162" s="68">
        <v>0</v>
      </c>
      <c r="AB162" s="37">
        <v>1</v>
      </c>
      <c r="AC162" s="38">
        <v>1</v>
      </c>
      <c r="AD162" s="39">
        <v>0</v>
      </c>
      <c r="AE162" s="39">
        <v>5168.45</v>
      </c>
      <c r="AF162" s="39">
        <v>0</v>
      </c>
      <c r="AG162" s="29">
        <v>1</v>
      </c>
      <c r="AH162" s="29">
        <v>1</v>
      </c>
      <c r="AI162" s="69">
        <v>1</v>
      </c>
      <c r="AJ162" s="39">
        <v>5168.45</v>
      </c>
    </row>
    <row r="163" spans="2:36">
      <c r="B163" s="62" t="s">
        <v>389</v>
      </c>
      <c r="C163" s="63" t="s">
        <v>207</v>
      </c>
      <c r="D163" s="64" t="s">
        <v>207</v>
      </c>
      <c r="E163" s="64" t="s">
        <v>53</v>
      </c>
      <c r="F163" s="64" t="s">
        <v>56</v>
      </c>
      <c r="G163" s="63" t="s">
        <v>363</v>
      </c>
      <c r="H163" s="66" t="s">
        <v>100</v>
      </c>
      <c r="I163" s="64" t="s">
        <v>101</v>
      </c>
      <c r="J163" s="67" t="s">
        <v>92</v>
      </c>
      <c r="K163" s="67">
        <v>3</v>
      </c>
      <c r="L163" s="30">
        <v>454.23199999999997</v>
      </c>
      <c r="M163" s="30">
        <v>2503.3719999999998</v>
      </c>
      <c r="N163" s="31">
        <v>3786.32</v>
      </c>
      <c r="O163" s="32">
        <v>1362.6959999999999</v>
      </c>
      <c r="P163" s="32">
        <v>7510.116</v>
      </c>
      <c r="Q163" s="32">
        <v>11358.960000000001</v>
      </c>
      <c r="R163" s="47">
        <v>6</v>
      </c>
      <c r="S163" s="21">
        <v>46367</v>
      </c>
      <c r="T163" s="21">
        <v>46373</v>
      </c>
      <c r="U163" s="34">
        <v>50</v>
      </c>
      <c r="V163" s="35">
        <v>51</v>
      </c>
      <c r="W163" s="33">
        <v>46369</v>
      </c>
      <c r="X163" s="33">
        <v>46375</v>
      </c>
      <c r="Y163" s="36">
        <v>50</v>
      </c>
      <c r="Z163" s="36">
        <v>51</v>
      </c>
      <c r="AA163" s="68">
        <v>0</v>
      </c>
      <c r="AB163" s="37">
        <v>0</v>
      </c>
      <c r="AC163" s="38">
        <v>0</v>
      </c>
      <c r="AD163" s="39">
        <v>0</v>
      </c>
      <c r="AE163" s="39">
        <v>0</v>
      </c>
      <c r="AF163" s="39">
        <v>0</v>
      </c>
      <c r="AG163" s="29">
        <v>0</v>
      </c>
      <c r="AH163" s="29">
        <v>0</v>
      </c>
      <c r="AI163" s="69">
        <v>0</v>
      </c>
      <c r="AJ163" s="39">
        <v>0</v>
      </c>
    </row>
    <row r="164" spans="2:36">
      <c r="B164" s="62" t="s">
        <v>389</v>
      </c>
      <c r="C164" s="63" t="s">
        <v>207</v>
      </c>
      <c r="D164" s="64" t="s">
        <v>207</v>
      </c>
      <c r="E164" s="64" t="s">
        <v>53</v>
      </c>
      <c r="F164" s="64" t="s">
        <v>56</v>
      </c>
      <c r="G164" s="63" t="s">
        <v>364</v>
      </c>
      <c r="H164" s="66" t="s">
        <v>102</v>
      </c>
      <c r="I164" s="64" t="s">
        <v>103</v>
      </c>
      <c r="J164" s="67" t="s">
        <v>92</v>
      </c>
      <c r="K164" s="67">
        <v>2</v>
      </c>
      <c r="L164" s="30">
        <v>384</v>
      </c>
      <c r="M164" s="30">
        <v>2496.2600000000002</v>
      </c>
      <c r="N164" s="31">
        <v>3747.07</v>
      </c>
      <c r="O164" s="32">
        <v>768</v>
      </c>
      <c r="P164" s="32">
        <v>4992.5200000000004</v>
      </c>
      <c r="Q164" s="32">
        <v>7494.14</v>
      </c>
      <c r="R164" s="47">
        <v>8</v>
      </c>
      <c r="S164" s="21">
        <v>46369</v>
      </c>
      <c r="T164" s="21">
        <v>46377</v>
      </c>
      <c r="U164" s="34">
        <v>50</v>
      </c>
      <c r="V164" s="35">
        <v>52</v>
      </c>
      <c r="W164" s="33">
        <v>46369</v>
      </c>
      <c r="X164" s="33">
        <v>46377</v>
      </c>
      <c r="Y164" s="36">
        <v>50</v>
      </c>
      <c r="Z164" s="36">
        <v>52</v>
      </c>
      <c r="AA164" s="68">
        <v>0</v>
      </c>
      <c r="AB164" s="37">
        <v>0.5</v>
      </c>
      <c r="AC164" s="38">
        <v>0.5</v>
      </c>
      <c r="AD164" s="39">
        <v>0</v>
      </c>
      <c r="AE164" s="39">
        <v>3747.07</v>
      </c>
      <c r="AF164" s="39">
        <v>0</v>
      </c>
      <c r="AG164" s="29">
        <v>1</v>
      </c>
      <c r="AH164" s="29">
        <v>1</v>
      </c>
      <c r="AI164" s="69">
        <v>0.5</v>
      </c>
      <c r="AJ164" s="39">
        <v>3747.07</v>
      </c>
    </row>
    <row r="165" spans="2:36">
      <c r="B165" s="62" t="s">
        <v>389</v>
      </c>
      <c r="C165" s="63" t="s">
        <v>207</v>
      </c>
      <c r="D165" s="64" t="s">
        <v>207</v>
      </c>
      <c r="E165" s="64" t="s">
        <v>53</v>
      </c>
      <c r="F165" s="64" t="s">
        <v>56</v>
      </c>
      <c r="G165" s="63" t="s">
        <v>365</v>
      </c>
      <c r="H165" s="66" t="s">
        <v>104</v>
      </c>
      <c r="I165" s="64" t="s">
        <v>105</v>
      </c>
      <c r="J165" s="67" t="s">
        <v>92</v>
      </c>
      <c r="K165" s="67">
        <v>2</v>
      </c>
      <c r="L165" s="30">
        <v>288</v>
      </c>
      <c r="M165" s="30">
        <v>4504.2300000000005</v>
      </c>
      <c r="N165" s="31">
        <v>6593.86</v>
      </c>
      <c r="O165" s="32">
        <v>576</v>
      </c>
      <c r="P165" s="32">
        <v>9008.4600000000009</v>
      </c>
      <c r="Q165" s="32">
        <v>13187.72</v>
      </c>
      <c r="R165" s="47">
        <v>5</v>
      </c>
      <c r="S165" s="21">
        <v>46371</v>
      </c>
      <c r="T165" s="21">
        <v>46376</v>
      </c>
      <c r="U165" s="34">
        <v>51</v>
      </c>
      <c r="V165" s="35">
        <v>51</v>
      </c>
      <c r="W165" s="33">
        <v>46373</v>
      </c>
      <c r="X165" s="33">
        <v>46380</v>
      </c>
      <c r="Y165" s="36">
        <v>51</v>
      </c>
      <c r="Z165" s="36">
        <v>52</v>
      </c>
      <c r="AA165" s="68">
        <v>0</v>
      </c>
      <c r="AB165" s="37">
        <v>0</v>
      </c>
      <c r="AC165" s="38">
        <v>0</v>
      </c>
      <c r="AD165" s="39">
        <v>0</v>
      </c>
      <c r="AE165" s="39">
        <v>0</v>
      </c>
      <c r="AF165" s="39">
        <v>0</v>
      </c>
      <c r="AG165" s="29">
        <v>0</v>
      </c>
      <c r="AH165" s="29">
        <v>0</v>
      </c>
      <c r="AI165" s="69">
        <v>0</v>
      </c>
      <c r="AJ165" s="39">
        <v>0</v>
      </c>
    </row>
    <row r="166" spans="2:36">
      <c r="B166" s="62" t="s">
        <v>389</v>
      </c>
      <c r="C166" s="63" t="s">
        <v>207</v>
      </c>
      <c r="D166" s="64" t="s">
        <v>207</v>
      </c>
      <c r="E166" s="64" t="s">
        <v>53</v>
      </c>
      <c r="F166" s="64" t="s">
        <v>56</v>
      </c>
      <c r="G166" s="63" t="s">
        <v>366</v>
      </c>
      <c r="H166" s="66" t="s">
        <v>106</v>
      </c>
      <c r="I166" s="64" t="s">
        <v>107</v>
      </c>
      <c r="J166" s="67" t="s">
        <v>92</v>
      </c>
      <c r="K166" s="67">
        <v>4</v>
      </c>
      <c r="L166" s="30">
        <v>288</v>
      </c>
      <c r="M166" s="30">
        <v>999.26</v>
      </c>
      <c r="N166" s="31">
        <v>1555.46</v>
      </c>
      <c r="O166" s="32">
        <v>1152</v>
      </c>
      <c r="P166" s="32">
        <v>3997.04</v>
      </c>
      <c r="Q166" s="32">
        <v>6221.84</v>
      </c>
      <c r="R166" s="47">
        <v>9</v>
      </c>
      <c r="S166" s="21">
        <v>46373</v>
      </c>
      <c r="T166" s="21">
        <v>46382</v>
      </c>
      <c r="U166" s="34">
        <v>51</v>
      </c>
      <c r="V166" s="35">
        <v>52</v>
      </c>
      <c r="W166" s="33">
        <v>46374</v>
      </c>
      <c r="X166" s="33">
        <v>46384</v>
      </c>
      <c r="Y166" s="36">
        <v>51</v>
      </c>
      <c r="Z166" s="36">
        <v>53</v>
      </c>
      <c r="AA166" s="68">
        <v>0</v>
      </c>
      <c r="AB166" s="37">
        <v>0.5</v>
      </c>
      <c r="AC166" s="38">
        <v>0.5</v>
      </c>
      <c r="AD166" s="39">
        <v>0</v>
      </c>
      <c r="AE166" s="39">
        <v>3110.92</v>
      </c>
      <c r="AF166" s="39">
        <v>0</v>
      </c>
      <c r="AG166" s="29">
        <v>2</v>
      </c>
      <c r="AH166" s="29">
        <v>2</v>
      </c>
      <c r="AI166" s="69">
        <v>0.5</v>
      </c>
      <c r="AJ166" s="39">
        <v>3110.92</v>
      </c>
    </row>
    <row r="167" spans="2:36">
      <c r="B167" s="62" t="s">
        <v>389</v>
      </c>
      <c r="C167" s="63" t="s">
        <v>207</v>
      </c>
      <c r="D167" s="64" t="s">
        <v>207</v>
      </c>
      <c r="E167" s="64" t="s">
        <v>53</v>
      </c>
      <c r="F167" s="64" t="s">
        <v>56</v>
      </c>
      <c r="G167" s="63" t="s">
        <v>367</v>
      </c>
      <c r="H167" s="66" t="s">
        <v>108</v>
      </c>
      <c r="I167" s="64" t="s">
        <v>109</v>
      </c>
      <c r="J167" s="67" t="s">
        <v>92</v>
      </c>
      <c r="K167" s="67">
        <v>4</v>
      </c>
      <c r="L167" s="30">
        <v>336</v>
      </c>
      <c r="M167" s="30">
        <v>961.09</v>
      </c>
      <c r="N167" s="31">
        <v>1520.43</v>
      </c>
      <c r="O167" s="32">
        <v>1344</v>
      </c>
      <c r="P167" s="32">
        <v>3844.36</v>
      </c>
      <c r="Q167" s="32">
        <v>6081.72</v>
      </c>
      <c r="R167" s="47">
        <v>6</v>
      </c>
      <c r="S167" s="21">
        <v>46374</v>
      </c>
      <c r="T167" s="21">
        <v>46380</v>
      </c>
      <c r="U167" s="34">
        <v>51</v>
      </c>
      <c r="V167" s="35">
        <v>52</v>
      </c>
      <c r="W167" s="33">
        <v>46374</v>
      </c>
      <c r="X167" s="33">
        <v>46381</v>
      </c>
      <c r="Y167" s="36">
        <v>51</v>
      </c>
      <c r="Z167" s="36">
        <v>52</v>
      </c>
      <c r="AA167" s="68">
        <v>0</v>
      </c>
      <c r="AB167" s="37">
        <v>0.5</v>
      </c>
      <c r="AC167" s="38">
        <v>0.5</v>
      </c>
      <c r="AD167" s="39">
        <v>0</v>
      </c>
      <c r="AE167" s="39">
        <v>3040.86</v>
      </c>
      <c r="AF167" s="39">
        <v>0</v>
      </c>
      <c r="AG167" s="29">
        <v>2</v>
      </c>
      <c r="AH167" s="29">
        <v>2</v>
      </c>
      <c r="AI167" s="69">
        <v>0.5</v>
      </c>
      <c r="AJ167" s="39">
        <v>3040.86</v>
      </c>
    </row>
    <row r="168" spans="2:36">
      <c r="B168" s="62" t="s">
        <v>389</v>
      </c>
      <c r="C168" s="63" t="s">
        <v>207</v>
      </c>
      <c r="D168" s="64" t="s">
        <v>207</v>
      </c>
      <c r="E168" s="64" t="s">
        <v>53</v>
      </c>
      <c r="F168" s="64" t="s">
        <v>56</v>
      </c>
      <c r="G168" s="63" t="s">
        <v>368</v>
      </c>
      <c r="H168" s="66" t="s">
        <v>110</v>
      </c>
      <c r="I168" s="64" t="s">
        <v>111</v>
      </c>
      <c r="J168" s="67" t="s">
        <v>92</v>
      </c>
      <c r="K168" s="67">
        <v>1</v>
      </c>
      <c r="L168" s="30">
        <v>288</v>
      </c>
      <c r="M168" s="30">
        <v>648.20000000000005</v>
      </c>
      <c r="N168" s="31">
        <v>1050.81</v>
      </c>
      <c r="O168" s="32">
        <v>288</v>
      </c>
      <c r="P168" s="32">
        <v>648.20000000000005</v>
      </c>
      <c r="Q168" s="32">
        <v>1050.81</v>
      </c>
      <c r="R168" s="47">
        <v>6</v>
      </c>
      <c r="S168" s="21">
        <v>46377</v>
      </c>
      <c r="T168" s="21">
        <v>46383</v>
      </c>
      <c r="U168" s="34">
        <v>52</v>
      </c>
      <c r="V168" s="35">
        <v>52</v>
      </c>
      <c r="W168" s="33">
        <v>46379</v>
      </c>
      <c r="X168" s="33">
        <v>46385</v>
      </c>
      <c r="Y168" s="36">
        <v>52</v>
      </c>
      <c r="Z168" s="36">
        <v>53</v>
      </c>
      <c r="AA168" s="68">
        <v>0</v>
      </c>
      <c r="AB168" s="37">
        <v>1</v>
      </c>
      <c r="AC168" s="38">
        <v>1</v>
      </c>
      <c r="AD168" s="39">
        <v>0</v>
      </c>
      <c r="AE168" s="39">
        <v>1050.81</v>
      </c>
      <c r="AF168" s="39">
        <v>0</v>
      </c>
      <c r="AG168" s="29">
        <v>1</v>
      </c>
      <c r="AH168" s="29">
        <v>1</v>
      </c>
      <c r="AI168" s="69">
        <v>1</v>
      </c>
      <c r="AJ168" s="39">
        <v>1050.81</v>
      </c>
    </row>
    <row r="169" spans="2:36">
      <c r="B169" s="62" t="s">
        <v>389</v>
      </c>
      <c r="C169" s="63" t="s">
        <v>207</v>
      </c>
      <c r="D169" s="64" t="s">
        <v>207</v>
      </c>
      <c r="E169" s="64" t="s">
        <v>53</v>
      </c>
      <c r="F169" s="64" t="s">
        <v>56</v>
      </c>
      <c r="G169" s="63" t="s">
        <v>369</v>
      </c>
      <c r="H169" s="66" t="s">
        <v>180</v>
      </c>
      <c r="I169" s="64" t="s">
        <v>181</v>
      </c>
      <c r="J169" s="67" t="s">
        <v>92</v>
      </c>
      <c r="K169" s="67">
        <v>2</v>
      </c>
      <c r="L169" s="30">
        <v>288</v>
      </c>
      <c r="M169" s="30">
        <v>1605.04</v>
      </c>
      <c r="N169" s="31">
        <v>2426.27</v>
      </c>
      <c r="O169" s="32">
        <v>576</v>
      </c>
      <c r="P169" s="32">
        <v>3210.08</v>
      </c>
      <c r="Q169" s="32">
        <v>4852.54</v>
      </c>
      <c r="R169" s="47">
        <v>3</v>
      </c>
      <c r="S169" s="21">
        <v>46380</v>
      </c>
      <c r="T169" s="21">
        <v>46383</v>
      </c>
      <c r="U169" s="34">
        <v>52</v>
      </c>
      <c r="V169" s="35">
        <v>52</v>
      </c>
      <c r="W169" s="33">
        <v>46380</v>
      </c>
      <c r="X169" s="33">
        <v>46385</v>
      </c>
      <c r="Y169" s="36">
        <v>52</v>
      </c>
      <c r="Z169" s="36">
        <v>53</v>
      </c>
      <c r="AA169" s="68">
        <v>0</v>
      </c>
      <c r="AB169" s="37">
        <v>1</v>
      </c>
      <c r="AC169" s="38">
        <v>1</v>
      </c>
      <c r="AD169" s="39">
        <v>0</v>
      </c>
      <c r="AE169" s="39">
        <v>4852.54</v>
      </c>
      <c r="AF169" s="39">
        <v>0</v>
      </c>
      <c r="AG169" s="29">
        <v>2</v>
      </c>
      <c r="AH169" s="29">
        <v>2</v>
      </c>
      <c r="AI169" s="69">
        <v>1</v>
      </c>
      <c r="AJ169" s="39">
        <v>4852.54</v>
      </c>
    </row>
    <row r="170" spans="2:36">
      <c r="B170" s="62" t="s">
        <v>389</v>
      </c>
      <c r="C170" s="63" t="s">
        <v>207</v>
      </c>
      <c r="D170" s="64" t="s">
        <v>207</v>
      </c>
      <c r="E170" s="64" t="s">
        <v>53</v>
      </c>
      <c r="F170" s="64" t="s">
        <v>56</v>
      </c>
      <c r="G170" s="63" t="s">
        <v>370</v>
      </c>
      <c r="H170" s="66" t="s">
        <v>68</v>
      </c>
      <c r="I170" s="64" t="s">
        <v>115</v>
      </c>
      <c r="J170" s="67" t="s">
        <v>92</v>
      </c>
      <c r="K170" s="67">
        <v>45</v>
      </c>
      <c r="L170" s="30">
        <v>256</v>
      </c>
      <c r="M170" s="30">
        <v>1359</v>
      </c>
      <c r="N170" s="31">
        <v>2059.36</v>
      </c>
      <c r="O170" s="32">
        <v>11520</v>
      </c>
      <c r="P170" s="32">
        <v>61155</v>
      </c>
      <c r="Q170" s="32">
        <v>92671.200000000012</v>
      </c>
      <c r="R170" s="47">
        <v>8</v>
      </c>
      <c r="S170" s="21">
        <v>46382</v>
      </c>
      <c r="T170" s="21">
        <v>46390</v>
      </c>
      <c r="U170" s="34">
        <v>52</v>
      </c>
      <c r="V170" s="35">
        <v>53</v>
      </c>
      <c r="W170" s="33">
        <v>46382</v>
      </c>
      <c r="X170" s="33">
        <v>46392</v>
      </c>
      <c r="Y170" s="36">
        <v>52</v>
      </c>
      <c r="Z170" s="36">
        <v>1</v>
      </c>
      <c r="AA170" s="68">
        <v>0</v>
      </c>
      <c r="AB170" s="37">
        <v>0.26666666666666666</v>
      </c>
      <c r="AC170" s="38">
        <v>0.26666666666666666</v>
      </c>
      <c r="AD170" s="39">
        <v>0</v>
      </c>
      <c r="AE170" s="39">
        <v>24712.320000000003</v>
      </c>
      <c r="AF170" s="39">
        <v>0</v>
      </c>
      <c r="AG170" s="29">
        <v>12</v>
      </c>
      <c r="AH170" s="29">
        <v>12</v>
      </c>
      <c r="AI170" s="69">
        <v>0.26666666666666666</v>
      </c>
      <c r="AJ170" s="39">
        <v>24712.32</v>
      </c>
    </row>
    <row r="171" spans="2:36">
      <c r="B171" s="62" t="s">
        <v>389</v>
      </c>
      <c r="C171" s="63" t="s">
        <v>207</v>
      </c>
      <c r="D171" s="64" t="s">
        <v>207</v>
      </c>
      <c r="E171" s="64" t="s">
        <v>53</v>
      </c>
      <c r="F171" s="64" t="s">
        <v>56</v>
      </c>
      <c r="G171" s="63" t="s">
        <v>371</v>
      </c>
      <c r="H171" s="66" t="s">
        <v>69</v>
      </c>
      <c r="I171" s="64" t="s">
        <v>116</v>
      </c>
      <c r="J171" s="67" t="s">
        <v>92</v>
      </c>
      <c r="K171" s="67">
        <v>5</v>
      </c>
      <c r="L171" s="30">
        <v>256</v>
      </c>
      <c r="M171" s="30">
        <v>1843.9199999999998</v>
      </c>
      <c r="N171" s="31">
        <v>2756.44</v>
      </c>
      <c r="O171" s="32">
        <v>1280</v>
      </c>
      <c r="P171" s="32">
        <v>9219.5999999999985</v>
      </c>
      <c r="Q171" s="32">
        <v>13782.2</v>
      </c>
      <c r="R171" s="47">
        <v>7</v>
      </c>
      <c r="S171" s="21">
        <v>46384</v>
      </c>
      <c r="T171" s="21">
        <v>46391</v>
      </c>
      <c r="U171" s="34">
        <v>53</v>
      </c>
      <c r="V171" s="35">
        <v>1</v>
      </c>
      <c r="W171" s="33">
        <v>46385</v>
      </c>
      <c r="X171" s="33">
        <v>46392</v>
      </c>
      <c r="Y171" s="36">
        <v>53</v>
      </c>
      <c r="Z171" s="36">
        <v>1</v>
      </c>
      <c r="AA171" s="68">
        <v>0</v>
      </c>
      <c r="AB171" s="37">
        <v>0</v>
      </c>
      <c r="AC171" s="38">
        <v>0</v>
      </c>
      <c r="AD171" s="39">
        <v>0</v>
      </c>
      <c r="AE171" s="39">
        <v>0</v>
      </c>
      <c r="AF171" s="39">
        <v>0</v>
      </c>
      <c r="AG171" s="29">
        <v>0</v>
      </c>
      <c r="AH171" s="29">
        <v>0</v>
      </c>
      <c r="AI171" s="69">
        <v>0</v>
      </c>
      <c r="AJ171" s="39">
        <v>0</v>
      </c>
    </row>
    <row r="172" spans="2:36">
      <c r="B172" s="62" t="s">
        <v>389</v>
      </c>
      <c r="C172" s="63" t="s">
        <v>207</v>
      </c>
      <c r="D172" s="64" t="s">
        <v>207</v>
      </c>
      <c r="E172" s="64" t="s">
        <v>53</v>
      </c>
      <c r="F172" s="64" t="s">
        <v>56</v>
      </c>
      <c r="G172" s="63" t="s">
        <v>372</v>
      </c>
      <c r="H172" s="66" t="s">
        <v>119</v>
      </c>
      <c r="I172" s="64" t="s">
        <v>120</v>
      </c>
      <c r="J172" s="67" t="s">
        <v>92</v>
      </c>
      <c r="K172" s="67">
        <v>6</v>
      </c>
      <c r="L172" s="30">
        <v>454.23199999999997</v>
      </c>
      <c r="M172" s="30">
        <v>1361.242</v>
      </c>
      <c r="N172" s="31">
        <v>2144.5100000000002</v>
      </c>
      <c r="O172" s="32">
        <v>2725.3919999999998</v>
      </c>
      <c r="P172" s="32">
        <v>8167.4519999999993</v>
      </c>
      <c r="Q172" s="32">
        <v>12867.060000000001</v>
      </c>
      <c r="R172" s="47">
        <v>9</v>
      </c>
      <c r="S172" s="21">
        <v>46387</v>
      </c>
      <c r="T172" s="21">
        <v>46396</v>
      </c>
      <c r="U172" s="34">
        <v>53</v>
      </c>
      <c r="V172" s="35">
        <v>1</v>
      </c>
      <c r="W172" s="33">
        <v>46389</v>
      </c>
      <c r="X172" s="33">
        <v>46400</v>
      </c>
      <c r="Y172" s="36">
        <v>53</v>
      </c>
      <c r="Z172" s="36">
        <v>2</v>
      </c>
      <c r="AA172" s="68">
        <v>0</v>
      </c>
      <c r="AB172" s="37">
        <v>0.66666666666666663</v>
      </c>
      <c r="AC172" s="38">
        <v>0.66666666666666663</v>
      </c>
      <c r="AD172" s="39">
        <v>0</v>
      </c>
      <c r="AE172" s="39">
        <v>8578.0400000000009</v>
      </c>
      <c r="AF172" s="39">
        <v>0</v>
      </c>
      <c r="AG172" s="29">
        <v>4</v>
      </c>
      <c r="AH172" s="29">
        <v>4</v>
      </c>
      <c r="AI172" s="69">
        <v>0.66666666666666663</v>
      </c>
      <c r="AJ172" s="39">
        <v>8578.0400000000009</v>
      </c>
    </row>
    <row r="173" spans="2:36">
      <c r="B173" s="62" t="s">
        <v>389</v>
      </c>
      <c r="C173" s="63" t="s">
        <v>207</v>
      </c>
      <c r="D173" s="64" t="s">
        <v>207</v>
      </c>
      <c r="E173" s="64" t="s">
        <v>53</v>
      </c>
      <c r="F173" s="64" t="s">
        <v>56</v>
      </c>
      <c r="G173" s="63" t="s">
        <v>373</v>
      </c>
      <c r="H173" s="66" t="s">
        <v>117</v>
      </c>
      <c r="I173" s="64" t="s">
        <v>118</v>
      </c>
      <c r="J173" s="67" t="s">
        <v>92</v>
      </c>
      <c r="K173" s="67">
        <v>5</v>
      </c>
      <c r="L173" s="30">
        <v>454.23199999999997</v>
      </c>
      <c r="M173" s="30">
        <v>1990.502</v>
      </c>
      <c r="N173" s="31">
        <v>3049.06</v>
      </c>
      <c r="O173" s="32">
        <v>2271.16</v>
      </c>
      <c r="P173" s="32">
        <v>9952.51</v>
      </c>
      <c r="Q173" s="32">
        <v>15245.3</v>
      </c>
      <c r="R173" s="47">
        <v>8</v>
      </c>
      <c r="S173" s="21">
        <v>46389</v>
      </c>
      <c r="T173" s="21">
        <v>46397</v>
      </c>
      <c r="U173" s="34">
        <v>53</v>
      </c>
      <c r="V173" s="35">
        <v>1</v>
      </c>
      <c r="W173" s="33">
        <v>46391</v>
      </c>
      <c r="X173" s="33">
        <v>46399</v>
      </c>
      <c r="Y173" s="36">
        <v>1</v>
      </c>
      <c r="Z173" s="36">
        <v>2</v>
      </c>
      <c r="AA173" s="68">
        <v>0</v>
      </c>
      <c r="AB173" s="37">
        <v>0</v>
      </c>
      <c r="AC173" s="38">
        <v>0</v>
      </c>
      <c r="AD173" s="39">
        <v>0</v>
      </c>
      <c r="AE173" s="39">
        <v>0</v>
      </c>
      <c r="AF173" s="39">
        <v>0</v>
      </c>
      <c r="AG173" s="29">
        <v>0</v>
      </c>
      <c r="AH173" s="29">
        <v>0</v>
      </c>
      <c r="AI173" s="69">
        <v>0</v>
      </c>
      <c r="AJ173" s="39">
        <v>0</v>
      </c>
    </row>
    <row r="174" spans="2:36">
      <c r="B174" s="62" t="s">
        <v>389</v>
      </c>
      <c r="C174" s="63" t="s">
        <v>207</v>
      </c>
      <c r="D174" s="64" t="s">
        <v>207</v>
      </c>
      <c r="E174" s="64" t="s">
        <v>53</v>
      </c>
      <c r="F174" s="64" t="s">
        <v>56</v>
      </c>
      <c r="G174" s="63" t="s">
        <v>374</v>
      </c>
      <c r="H174" s="66" t="s">
        <v>63</v>
      </c>
      <c r="I174" s="64" t="s">
        <v>121</v>
      </c>
      <c r="J174" s="67" t="s">
        <v>92</v>
      </c>
      <c r="K174" s="67">
        <v>3</v>
      </c>
      <c r="L174" s="30">
        <v>216</v>
      </c>
      <c r="M174" s="30">
        <v>949.59</v>
      </c>
      <c r="N174" s="31">
        <v>1454.3</v>
      </c>
      <c r="O174" s="32">
        <v>648</v>
      </c>
      <c r="P174" s="32">
        <v>2848.77</v>
      </c>
      <c r="Q174" s="32">
        <v>4362.8999999999996</v>
      </c>
      <c r="R174" s="47">
        <v>7</v>
      </c>
      <c r="S174" s="21">
        <v>46391</v>
      </c>
      <c r="T174" s="21">
        <v>46398</v>
      </c>
      <c r="U174" s="34">
        <v>1</v>
      </c>
      <c r="V174" s="35">
        <v>2</v>
      </c>
      <c r="W174" s="33">
        <v>46393</v>
      </c>
      <c r="X174" s="33">
        <v>46401</v>
      </c>
      <c r="Y174" s="36">
        <v>1</v>
      </c>
      <c r="Z174" s="36">
        <v>2</v>
      </c>
      <c r="AA174" s="68">
        <v>0</v>
      </c>
      <c r="AB174" s="37">
        <v>0</v>
      </c>
      <c r="AC174" s="38">
        <v>0</v>
      </c>
      <c r="AD174" s="39">
        <v>0</v>
      </c>
      <c r="AE174" s="39">
        <v>0</v>
      </c>
      <c r="AF174" s="39">
        <v>0</v>
      </c>
      <c r="AG174" s="29">
        <v>0</v>
      </c>
      <c r="AH174" s="29">
        <v>0</v>
      </c>
      <c r="AI174" s="69">
        <v>0</v>
      </c>
      <c r="AJ174" s="39">
        <v>0</v>
      </c>
    </row>
    <row r="175" spans="2:36">
      <c r="B175" s="62" t="s">
        <v>389</v>
      </c>
      <c r="C175" s="63" t="s">
        <v>207</v>
      </c>
      <c r="D175" s="64" t="s">
        <v>207</v>
      </c>
      <c r="E175" s="64" t="s">
        <v>53</v>
      </c>
      <c r="F175" s="64" t="s">
        <v>56</v>
      </c>
      <c r="G175" s="63" t="s">
        <v>375</v>
      </c>
      <c r="H175" s="66" t="s">
        <v>67</v>
      </c>
      <c r="I175" s="64" t="s">
        <v>125</v>
      </c>
      <c r="J175" s="67" t="s">
        <v>92</v>
      </c>
      <c r="K175" s="67">
        <v>1</v>
      </c>
      <c r="L175" s="30">
        <v>256</v>
      </c>
      <c r="M175" s="30">
        <v>1256</v>
      </c>
      <c r="N175" s="31">
        <v>1911.3</v>
      </c>
      <c r="O175" s="32">
        <v>256</v>
      </c>
      <c r="P175" s="32">
        <v>1256</v>
      </c>
      <c r="Q175" s="32">
        <v>1911.3</v>
      </c>
      <c r="R175" s="47">
        <v>9</v>
      </c>
      <c r="S175" s="21">
        <v>46393</v>
      </c>
      <c r="T175" s="21">
        <v>46402</v>
      </c>
      <c r="U175" s="34">
        <v>1</v>
      </c>
      <c r="V175" s="35">
        <v>2</v>
      </c>
      <c r="W175" s="33">
        <v>46393</v>
      </c>
      <c r="X175" s="33">
        <v>46403</v>
      </c>
      <c r="Y175" s="36">
        <v>1</v>
      </c>
      <c r="Z175" s="36">
        <v>2</v>
      </c>
      <c r="AA175" s="68">
        <v>0</v>
      </c>
      <c r="AB175" s="37">
        <v>0</v>
      </c>
      <c r="AC175" s="38">
        <v>0</v>
      </c>
      <c r="AD175" s="39">
        <v>0</v>
      </c>
      <c r="AE175" s="39">
        <v>0</v>
      </c>
      <c r="AF175" s="39">
        <v>0</v>
      </c>
      <c r="AG175" s="29">
        <v>0</v>
      </c>
      <c r="AH175" s="29">
        <v>0</v>
      </c>
      <c r="AI175" s="69">
        <v>0</v>
      </c>
      <c r="AJ175" s="39">
        <v>0</v>
      </c>
    </row>
    <row r="176" spans="2:36">
      <c r="B176" s="62" t="s">
        <v>389</v>
      </c>
      <c r="C176" s="63" t="s">
        <v>207</v>
      </c>
      <c r="D176" s="64" t="s">
        <v>207</v>
      </c>
      <c r="E176" s="64" t="s">
        <v>49</v>
      </c>
      <c r="F176" s="64" t="s">
        <v>50</v>
      </c>
      <c r="G176" s="63" t="s">
        <v>376</v>
      </c>
      <c r="H176" s="66" t="s">
        <v>135</v>
      </c>
      <c r="I176" s="64" t="s">
        <v>136</v>
      </c>
      <c r="J176" s="67" t="s">
        <v>92</v>
      </c>
      <c r="K176" s="67">
        <v>2</v>
      </c>
      <c r="L176" s="30">
        <v>296.00799999999998</v>
      </c>
      <c r="M176" s="30">
        <v>307.108</v>
      </c>
      <c r="N176" s="31">
        <v>563.79</v>
      </c>
      <c r="O176" s="32">
        <v>592.01599999999996</v>
      </c>
      <c r="P176" s="32">
        <v>614.21600000000001</v>
      </c>
      <c r="Q176" s="32">
        <v>1127.58</v>
      </c>
      <c r="R176" s="47">
        <v>9</v>
      </c>
      <c r="S176" s="21">
        <v>46395</v>
      </c>
      <c r="T176" s="21">
        <v>46404</v>
      </c>
      <c r="U176" s="34">
        <v>1</v>
      </c>
      <c r="V176" s="35">
        <v>2</v>
      </c>
      <c r="W176" s="33">
        <v>46395</v>
      </c>
      <c r="X176" s="33">
        <v>46406</v>
      </c>
      <c r="Y176" s="36">
        <v>1</v>
      </c>
      <c r="Z176" s="36">
        <v>3</v>
      </c>
      <c r="AA176" s="68">
        <v>0</v>
      </c>
      <c r="AB176" s="37">
        <v>0.5</v>
      </c>
      <c r="AC176" s="38">
        <v>0.5</v>
      </c>
      <c r="AD176" s="39">
        <v>0</v>
      </c>
      <c r="AE176" s="39">
        <v>563.79</v>
      </c>
      <c r="AF176" s="39">
        <v>0</v>
      </c>
      <c r="AG176" s="29">
        <v>1</v>
      </c>
      <c r="AH176" s="29">
        <v>1</v>
      </c>
      <c r="AI176" s="69">
        <v>0.5</v>
      </c>
      <c r="AJ176" s="39">
        <v>563.79</v>
      </c>
    </row>
    <row r="177" spans="2:36">
      <c r="B177" s="62" t="s">
        <v>389</v>
      </c>
      <c r="C177" s="63" t="s">
        <v>207</v>
      </c>
      <c r="D177" s="64" t="s">
        <v>207</v>
      </c>
      <c r="E177" s="64" t="s">
        <v>49</v>
      </c>
      <c r="F177" s="64" t="s">
        <v>50</v>
      </c>
      <c r="G177" s="63" t="s">
        <v>377</v>
      </c>
      <c r="H177" s="66" t="s">
        <v>137</v>
      </c>
      <c r="I177" s="64" t="s">
        <v>138</v>
      </c>
      <c r="J177" s="67" t="s">
        <v>92</v>
      </c>
      <c r="K177" s="67">
        <v>2</v>
      </c>
      <c r="L177" s="30">
        <v>80</v>
      </c>
      <c r="M177" s="30">
        <v>383</v>
      </c>
      <c r="N177" s="31">
        <v>583.63</v>
      </c>
      <c r="O177" s="32">
        <v>160</v>
      </c>
      <c r="P177" s="32">
        <v>766</v>
      </c>
      <c r="Q177" s="32">
        <v>1167.26</v>
      </c>
      <c r="R177" s="47">
        <v>2</v>
      </c>
      <c r="S177" s="21">
        <v>46398</v>
      </c>
      <c r="T177" s="21">
        <v>46400</v>
      </c>
      <c r="U177" s="34">
        <v>2</v>
      </c>
      <c r="V177" s="35">
        <v>2</v>
      </c>
      <c r="W177" s="33">
        <v>46400</v>
      </c>
      <c r="X177" s="33">
        <v>46404</v>
      </c>
      <c r="Y177" s="36">
        <v>2</v>
      </c>
      <c r="Z177" s="36">
        <v>2</v>
      </c>
      <c r="AA177" s="68">
        <v>0</v>
      </c>
      <c r="AB177" s="37">
        <v>1</v>
      </c>
      <c r="AC177" s="38">
        <v>1</v>
      </c>
      <c r="AD177" s="39">
        <v>0</v>
      </c>
      <c r="AE177" s="39">
        <v>1167.26</v>
      </c>
      <c r="AF177" s="39">
        <v>0</v>
      </c>
      <c r="AG177" s="29">
        <v>2</v>
      </c>
      <c r="AH177" s="29">
        <v>2</v>
      </c>
      <c r="AI177" s="69">
        <v>1</v>
      </c>
      <c r="AJ177" s="39">
        <v>1167.26</v>
      </c>
    </row>
    <row r="178" spans="2:36">
      <c r="B178" s="62" t="s">
        <v>389</v>
      </c>
      <c r="C178" s="63" t="s">
        <v>207</v>
      </c>
      <c r="D178" s="64" t="s">
        <v>207</v>
      </c>
      <c r="E178" s="64" t="s">
        <v>49</v>
      </c>
      <c r="F178" s="64" t="s">
        <v>52</v>
      </c>
      <c r="G178" s="63" t="s">
        <v>378</v>
      </c>
      <c r="H178" s="66" t="s">
        <v>201</v>
      </c>
      <c r="I178" s="64" t="s">
        <v>140</v>
      </c>
      <c r="J178" s="67" t="s">
        <v>84</v>
      </c>
      <c r="K178" s="67">
        <v>1</v>
      </c>
      <c r="L178" s="30">
        <v>1271.9840000000002</v>
      </c>
      <c r="M178" s="30">
        <v>3859.1639999999998</v>
      </c>
      <c r="N178" s="31">
        <v>6073.36</v>
      </c>
      <c r="O178" s="32">
        <v>1271.9840000000002</v>
      </c>
      <c r="P178" s="32">
        <v>3859.1639999999998</v>
      </c>
      <c r="Q178" s="32">
        <v>6073.36</v>
      </c>
      <c r="R178" s="47">
        <v>7</v>
      </c>
      <c r="S178" s="21">
        <v>46399</v>
      </c>
      <c r="T178" s="21">
        <v>46406</v>
      </c>
      <c r="U178" s="34">
        <v>2</v>
      </c>
      <c r="V178" s="35">
        <v>3</v>
      </c>
      <c r="W178" s="33">
        <v>46400</v>
      </c>
      <c r="X178" s="33">
        <v>46407</v>
      </c>
      <c r="Y178" s="36">
        <v>2</v>
      </c>
      <c r="Z178" s="36">
        <v>3</v>
      </c>
      <c r="AA178" s="68">
        <v>0</v>
      </c>
      <c r="AB178" s="37">
        <v>1</v>
      </c>
      <c r="AC178" s="38">
        <v>1</v>
      </c>
      <c r="AD178" s="39">
        <v>0</v>
      </c>
      <c r="AE178" s="39">
        <v>6073.36</v>
      </c>
      <c r="AF178" s="39">
        <v>0</v>
      </c>
      <c r="AG178" s="29">
        <v>1</v>
      </c>
      <c r="AH178" s="29">
        <v>1</v>
      </c>
      <c r="AI178" s="69">
        <v>1</v>
      </c>
      <c r="AJ178" s="39">
        <v>6073.36</v>
      </c>
    </row>
    <row r="179" spans="2:36">
      <c r="B179" s="62" t="s">
        <v>389</v>
      </c>
      <c r="C179" s="63" t="s">
        <v>207</v>
      </c>
      <c r="D179" s="64" t="s">
        <v>207</v>
      </c>
      <c r="E179" s="64" t="s">
        <v>74</v>
      </c>
      <c r="F179" s="64" t="s">
        <v>77</v>
      </c>
      <c r="G179" s="63" t="s">
        <v>379</v>
      </c>
      <c r="H179" s="66" t="s">
        <v>202</v>
      </c>
      <c r="I179" s="64" t="s">
        <v>142</v>
      </c>
      <c r="J179" s="67" t="s">
        <v>84</v>
      </c>
      <c r="K179" s="67">
        <v>1</v>
      </c>
      <c r="L179" s="30">
        <v>112859.944</v>
      </c>
      <c r="M179" s="30">
        <v>439242.12421499996</v>
      </c>
      <c r="N179" s="31">
        <v>641258.95527600008</v>
      </c>
      <c r="O179" s="32">
        <v>112859.944</v>
      </c>
      <c r="P179" s="32">
        <v>439242.12421499996</v>
      </c>
      <c r="Q179" s="32">
        <v>641258.95527600008</v>
      </c>
      <c r="R179" s="47">
        <v>6</v>
      </c>
      <c r="S179" s="21">
        <v>46401</v>
      </c>
      <c r="T179" s="21">
        <v>46407</v>
      </c>
      <c r="U179" s="34">
        <v>2</v>
      </c>
      <c r="V179" s="35">
        <v>3</v>
      </c>
      <c r="W179" s="33">
        <v>46403</v>
      </c>
      <c r="X179" s="33">
        <v>46410</v>
      </c>
      <c r="Y179" s="36">
        <v>2</v>
      </c>
      <c r="Z179" s="36">
        <v>3</v>
      </c>
      <c r="AA179" s="68">
        <v>0</v>
      </c>
      <c r="AB179" s="37">
        <v>1</v>
      </c>
      <c r="AC179" s="38">
        <v>1</v>
      </c>
      <c r="AD179" s="39">
        <v>0</v>
      </c>
      <c r="AE179" s="39">
        <v>641258.95527600008</v>
      </c>
      <c r="AF179" s="39">
        <v>0</v>
      </c>
      <c r="AG179" s="29">
        <v>1</v>
      </c>
      <c r="AH179" s="29">
        <v>1</v>
      </c>
      <c r="AI179" s="69">
        <v>1</v>
      </c>
      <c r="AJ179" s="39">
        <v>641258.95527600008</v>
      </c>
    </row>
    <row r="180" spans="2:36">
      <c r="B180" s="62" t="s">
        <v>389</v>
      </c>
      <c r="C180" s="63" t="s">
        <v>207</v>
      </c>
      <c r="D180" s="64" t="s">
        <v>207</v>
      </c>
      <c r="E180" s="64" t="s">
        <v>75</v>
      </c>
      <c r="F180" s="64" t="s">
        <v>58</v>
      </c>
      <c r="G180" s="63" t="s">
        <v>380</v>
      </c>
      <c r="H180" s="66" t="s">
        <v>145</v>
      </c>
      <c r="I180" s="64" t="s">
        <v>146</v>
      </c>
      <c r="J180" s="67" t="s">
        <v>92</v>
      </c>
      <c r="K180" s="67">
        <v>13</v>
      </c>
      <c r="L180" s="30">
        <v>296.00799999999998</v>
      </c>
      <c r="M180" s="30">
        <v>307.108</v>
      </c>
      <c r="N180" s="31">
        <v>563.79</v>
      </c>
      <c r="O180" s="32">
        <v>3848.1039999999998</v>
      </c>
      <c r="P180" s="32">
        <v>3992.404</v>
      </c>
      <c r="Q180" s="32">
        <v>7329.2699999999995</v>
      </c>
      <c r="R180" s="47">
        <v>7</v>
      </c>
      <c r="S180" s="21">
        <v>46403</v>
      </c>
      <c r="T180" s="21">
        <v>46410</v>
      </c>
      <c r="U180" s="34">
        <v>2</v>
      </c>
      <c r="V180" s="35">
        <v>3</v>
      </c>
      <c r="W180" s="33">
        <v>46404</v>
      </c>
      <c r="X180" s="33">
        <v>46412</v>
      </c>
      <c r="Y180" s="36">
        <v>2</v>
      </c>
      <c r="Z180" s="36">
        <v>4</v>
      </c>
      <c r="AA180" s="68">
        <v>0</v>
      </c>
      <c r="AB180" s="37">
        <v>0.23076923076923078</v>
      </c>
      <c r="AC180" s="38">
        <v>0.23076923076923078</v>
      </c>
      <c r="AD180" s="39">
        <v>0</v>
      </c>
      <c r="AE180" s="39">
        <v>1691.37</v>
      </c>
      <c r="AF180" s="39">
        <v>0</v>
      </c>
      <c r="AG180" s="29">
        <v>3</v>
      </c>
      <c r="AH180" s="29">
        <v>3</v>
      </c>
      <c r="AI180" s="69">
        <v>0.23076923076923078</v>
      </c>
      <c r="AJ180" s="39">
        <v>1691.37</v>
      </c>
    </row>
    <row r="181" spans="2:36">
      <c r="B181" s="62" t="s">
        <v>389</v>
      </c>
      <c r="C181" s="63" t="s">
        <v>207</v>
      </c>
      <c r="D181" s="64" t="s">
        <v>207</v>
      </c>
      <c r="E181" s="64" t="s">
        <v>75</v>
      </c>
      <c r="F181" s="64" t="s">
        <v>58</v>
      </c>
      <c r="G181" s="63" t="s">
        <v>381</v>
      </c>
      <c r="H181" s="66" t="s">
        <v>147</v>
      </c>
      <c r="I181" s="64" t="s">
        <v>148</v>
      </c>
      <c r="J181" s="67" t="s">
        <v>92</v>
      </c>
      <c r="K181" s="67">
        <v>13</v>
      </c>
      <c r="L181" s="30">
        <v>80</v>
      </c>
      <c r="M181" s="30">
        <v>83</v>
      </c>
      <c r="N181" s="31">
        <v>152.38</v>
      </c>
      <c r="O181" s="32">
        <v>1040</v>
      </c>
      <c r="P181" s="32">
        <v>1079</v>
      </c>
      <c r="Q181" s="32">
        <v>1980.94</v>
      </c>
      <c r="R181" s="47">
        <v>2</v>
      </c>
      <c r="S181" s="21">
        <v>46404</v>
      </c>
      <c r="T181" s="21">
        <v>46406</v>
      </c>
      <c r="U181" s="34">
        <v>2</v>
      </c>
      <c r="V181" s="35">
        <v>3</v>
      </c>
      <c r="W181" s="33">
        <v>46406</v>
      </c>
      <c r="X181" s="33">
        <v>46409</v>
      </c>
      <c r="Y181" s="36">
        <v>3</v>
      </c>
      <c r="Z181" s="36">
        <v>3</v>
      </c>
      <c r="AA181" s="68">
        <v>0</v>
      </c>
      <c r="AB181" s="37">
        <v>0.30769230769230771</v>
      </c>
      <c r="AC181" s="38">
        <v>0.30769230769230771</v>
      </c>
      <c r="AD181" s="39">
        <v>0</v>
      </c>
      <c r="AE181" s="39">
        <v>609.5200000000001</v>
      </c>
      <c r="AF181" s="39">
        <v>0</v>
      </c>
      <c r="AG181" s="29">
        <v>4</v>
      </c>
      <c r="AH181" s="29">
        <v>4</v>
      </c>
      <c r="AI181" s="69">
        <v>0.30769230769230771</v>
      </c>
      <c r="AJ181" s="39">
        <v>609.52</v>
      </c>
    </row>
    <row r="182" spans="2:36">
      <c r="B182" s="62" t="s">
        <v>389</v>
      </c>
      <c r="C182" s="63" t="s">
        <v>207</v>
      </c>
      <c r="D182" s="64" t="s">
        <v>207</v>
      </c>
      <c r="E182" s="64" t="s">
        <v>45</v>
      </c>
      <c r="F182" s="64" t="s">
        <v>57</v>
      </c>
      <c r="G182" s="63" t="s">
        <v>382</v>
      </c>
      <c r="H182" s="66" t="s">
        <v>149</v>
      </c>
      <c r="I182" s="64" t="s">
        <v>151</v>
      </c>
      <c r="J182" s="67" t="s">
        <v>92</v>
      </c>
      <c r="K182" s="67">
        <v>13</v>
      </c>
      <c r="L182" s="30">
        <v>2952.0080000000003</v>
      </c>
      <c r="M182" s="30">
        <v>3749.1280000000002</v>
      </c>
      <c r="N182" s="31">
        <v>6609.4</v>
      </c>
      <c r="O182" s="32">
        <v>38376.104000000007</v>
      </c>
      <c r="P182" s="32">
        <v>48738.664000000004</v>
      </c>
      <c r="Q182" s="32">
        <v>85922.2</v>
      </c>
      <c r="R182" s="47">
        <v>5</v>
      </c>
      <c r="S182" s="21">
        <v>46406</v>
      </c>
      <c r="T182" s="21">
        <v>46411</v>
      </c>
      <c r="U182" s="34">
        <v>3</v>
      </c>
      <c r="V182" s="35">
        <v>3</v>
      </c>
      <c r="W182" s="33">
        <v>46408</v>
      </c>
      <c r="X182" s="33">
        <v>46415</v>
      </c>
      <c r="Y182" s="36">
        <v>3</v>
      </c>
      <c r="Z182" s="36">
        <v>4</v>
      </c>
      <c r="AA182" s="68">
        <v>0</v>
      </c>
      <c r="AB182" s="37">
        <v>7.6923076923076927E-2</v>
      </c>
      <c r="AC182" s="38">
        <v>7.6923076923076927E-2</v>
      </c>
      <c r="AD182" s="39">
        <v>0</v>
      </c>
      <c r="AE182" s="39">
        <v>6609.4000000000005</v>
      </c>
      <c r="AF182" s="39">
        <v>0</v>
      </c>
      <c r="AG182" s="29">
        <v>1</v>
      </c>
      <c r="AH182" s="29">
        <v>1</v>
      </c>
      <c r="AI182" s="69">
        <v>7.6923076923076927E-2</v>
      </c>
      <c r="AJ182" s="39">
        <v>6609.4</v>
      </c>
    </row>
    <row r="183" spans="2:36">
      <c r="B183" s="62" t="s">
        <v>389</v>
      </c>
      <c r="C183" s="63" t="s">
        <v>207</v>
      </c>
      <c r="D183" s="64" t="s">
        <v>207</v>
      </c>
      <c r="E183" s="64" t="s">
        <v>45</v>
      </c>
      <c r="F183" s="64" t="s">
        <v>57</v>
      </c>
      <c r="G183" s="63" t="s">
        <v>383</v>
      </c>
      <c r="H183" s="66" t="s">
        <v>158</v>
      </c>
      <c r="I183" s="64" t="s">
        <v>184</v>
      </c>
      <c r="J183" s="67" t="s">
        <v>92</v>
      </c>
      <c r="K183" s="67">
        <v>2</v>
      </c>
      <c r="L183" s="30">
        <v>3786.5839999999998</v>
      </c>
      <c r="M183" s="30">
        <v>4651.4039999999995</v>
      </c>
      <c r="N183" s="31">
        <v>8251.34</v>
      </c>
      <c r="O183" s="32">
        <v>7573.1679999999997</v>
      </c>
      <c r="P183" s="32">
        <v>9302.8079999999991</v>
      </c>
      <c r="Q183" s="32">
        <v>16502.68</v>
      </c>
      <c r="R183" s="47">
        <v>2</v>
      </c>
      <c r="S183" s="21">
        <v>46407</v>
      </c>
      <c r="T183" s="21">
        <v>46409</v>
      </c>
      <c r="U183" s="34">
        <v>3</v>
      </c>
      <c r="V183" s="35">
        <v>3</v>
      </c>
      <c r="W183" s="33">
        <v>46408</v>
      </c>
      <c r="X183" s="33">
        <v>46410</v>
      </c>
      <c r="Y183" s="36">
        <v>3</v>
      </c>
      <c r="Z183" s="36">
        <v>3</v>
      </c>
      <c r="AA183" s="68">
        <v>0</v>
      </c>
      <c r="AB183" s="37">
        <v>1</v>
      </c>
      <c r="AC183" s="38">
        <v>1</v>
      </c>
      <c r="AD183" s="39">
        <v>0</v>
      </c>
      <c r="AE183" s="39">
        <v>16502.68</v>
      </c>
      <c r="AF183" s="39">
        <v>0</v>
      </c>
      <c r="AG183" s="29">
        <v>2</v>
      </c>
      <c r="AH183" s="29">
        <v>2</v>
      </c>
      <c r="AI183" s="69">
        <v>1</v>
      </c>
      <c r="AJ183" s="39">
        <v>16502.68</v>
      </c>
    </row>
    <row r="184" spans="2:36">
      <c r="B184" s="62" t="s">
        <v>389</v>
      </c>
      <c r="C184" s="63" t="s">
        <v>207</v>
      </c>
      <c r="D184" s="64" t="s">
        <v>207</v>
      </c>
      <c r="E184" s="64" t="s">
        <v>45</v>
      </c>
      <c r="F184" s="64" t="s">
        <v>57</v>
      </c>
      <c r="G184" s="63" t="s">
        <v>384</v>
      </c>
      <c r="H184" s="66" t="s">
        <v>158</v>
      </c>
      <c r="I184" s="64" t="s">
        <v>185</v>
      </c>
      <c r="J184" s="67" t="s">
        <v>92</v>
      </c>
      <c r="K184" s="67">
        <v>1</v>
      </c>
      <c r="L184" s="30">
        <v>3786.5839999999998</v>
      </c>
      <c r="M184" s="30">
        <v>4651.4039999999995</v>
      </c>
      <c r="N184" s="31">
        <v>8251.34</v>
      </c>
      <c r="O184" s="32">
        <v>3786.5839999999998</v>
      </c>
      <c r="P184" s="32">
        <v>4651.4039999999995</v>
      </c>
      <c r="Q184" s="32">
        <v>8251.34</v>
      </c>
      <c r="R184" s="47">
        <v>5</v>
      </c>
      <c r="S184" s="21">
        <v>46410</v>
      </c>
      <c r="T184" s="21">
        <v>46415</v>
      </c>
      <c r="U184" s="34">
        <v>3</v>
      </c>
      <c r="V184" s="35">
        <v>4</v>
      </c>
      <c r="W184" s="33">
        <v>46411</v>
      </c>
      <c r="X184" s="33">
        <v>46418</v>
      </c>
      <c r="Y184" s="36">
        <v>3</v>
      </c>
      <c r="Z184" s="36">
        <v>4</v>
      </c>
      <c r="AA184" s="68">
        <v>0</v>
      </c>
      <c r="AB184" s="37">
        <v>1</v>
      </c>
      <c r="AC184" s="38">
        <v>1</v>
      </c>
      <c r="AD184" s="39">
        <v>0</v>
      </c>
      <c r="AE184" s="39">
        <v>8251.34</v>
      </c>
      <c r="AF184" s="39">
        <v>0</v>
      </c>
      <c r="AG184" s="29">
        <v>1</v>
      </c>
      <c r="AH184" s="29">
        <v>1</v>
      </c>
      <c r="AI184" s="69">
        <v>1</v>
      </c>
      <c r="AJ184" s="39">
        <v>8251.34</v>
      </c>
    </row>
    <row r="185" spans="2:36">
      <c r="B185" s="62" t="s">
        <v>389</v>
      </c>
      <c r="C185" s="63" t="s">
        <v>207</v>
      </c>
      <c r="D185" s="64" t="s">
        <v>207</v>
      </c>
      <c r="E185" s="64" t="s">
        <v>45</v>
      </c>
      <c r="F185" s="64" t="s">
        <v>57</v>
      </c>
      <c r="G185" s="63" t="s">
        <v>385</v>
      </c>
      <c r="H185" s="66" t="s">
        <v>158</v>
      </c>
      <c r="I185" s="64" t="s">
        <v>186</v>
      </c>
      <c r="J185" s="67" t="s">
        <v>92</v>
      </c>
      <c r="K185" s="67">
        <v>2</v>
      </c>
      <c r="L185" s="30">
        <v>3786.5839999999998</v>
      </c>
      <c r="M185" s="30">
        <v>4651.4039999999995</v>
      </c>
      <c r="N185" s="31">
        <v>8251.34</v>
      </c>
      <c r="O185" s="32">
        <v>7573.1679999999997</v>
      </c>
      <c r="P185" s="32">
        <v>9302.8079999999991</v>
      </c>
      <c r="Q185" s="32">
        <v>16502.68</v>
      </c>
      <c r="R185" s="47">
        <v>3</v>
      </c>
      <c r="S185" s="21">
        <v>46412</v>
      </c>
      <c r="T185" s="21">
        <v>46415</v>
      </c>
      <c r="U185" s="34">
        <v>4</v>
      </c>
      <c r="V185" s="35">
        <v>4</v>
      </c>
      <c r="W185" s="33">
        <v>46414</v>
      </c>
      <c r="X185" s="33">
        <v>46419</v>
      </c>
      <c r="Y185" s="36">
        <v>4</v>
      </c>
      <c r="Z185" s="36">
        <v>5</v>
      </c>
      <c r="AA185" s="68">
        <v>0</v>
      </c>
      <c r="AB185" s="37">
        <v>1</v>
      </c>
      <c r="AC185" s="38">
        <v>1</v>
      </c>
      <c r="AD185" s="39">
        <v>0</v>
      </c>
      <c r="AE185" s="39">
        <v>16502.68</v>
      </c>
      <c r="AF185" s="39">
        <v>0</v>
      </c>
      <c r="AG185" s="29">
        <v>2</v>
      </c>
      <c r="AH185" s="29">
        <v>2</v>
      </c>
      <c r="AI185" s="69">
        <v>1</v>
      </c>
      <c r="AJ185" s="39">
        <v>16502.68</v>
      </c>
    </row>
    <row r="186" spans="2:36">
      <c r="B186" s="62" t="s">
        <v>389</v>
      </c>
      <c r="C186" s="63" t="s">
        <v>207</v>
      </c>
      <c r="D186" s="64" t="s">
        <v>207</v>
      </c>
      <c r="E186" s="64" t="s">
        <v>75</v>
      </c>
      <c r="F186" s="64" t="s">
        <v>58</v>
      </c>
      <c r="G186" s="63" t="s">
        <v>386</v>
      </c>
      <c r="H186" s="66" t="s">
        <v>203</v>
      </c>
      <c r="I186" s="64" t="s">
        <v>144</v>
      </c>
      <c r="J186" s="67" t="s">
        <v>84</v>
      </c>
      <c r="K186" s="67">
        <v>1</v>
      </c>
      <c r="L186" s="30">
        <v>38155.184000000001</v>
      </c>
      <c r="M186" s="30">
        <v>377918.07520399999</v>
      </c>
      <c r="N186" s="31">
        <v>517512.12573500001</v>
      </c>
      <c r="O186" s="32">
        <v>38155.184000000001</v>
      </c>
      <c r="P186" s="32">
        <v>377918.07520399999</v>
      </c>
      <c r="Q186" s="32">
        <v>517512.12573500001</v>
      </c>
      <c r="R186" s="47">
        <v>6</v>
      </c>
      <c r="S186" s="21">
        <v>46414</v>
      </c>
      <c r="T186" s="21">
        <v>46420</v>
      </c>
      <c r="U186" s="34">
        <v>4</v>
      </c>
      <c r="V186" s="35">
        <v>5</v>
      </c>
      <c r="W186" s="33">
        <v>46415</v>
      </c>
      <c r="X186" s="33">
        <v>46422</v>
      </c>
      <c r="Y186" s="36">
        <v>4</v>
      </c>
      <c r="Z186" s="36">
        <v>5</v>
      </c>
      <c r="AA186" s="68">
        <v>0</v>
      </c>
      <c r="AB186" s="37">
        <v>0</v>
      </c>
      <c r="AC186" s="38">
        <v>0</v>
      </c>
      <c r="AD186" s="39">
        <v>0</v>
      </c>
      <c r="AE186" s="39">
        <v>0</v>
      </c>
      <c r="AF186" s="39">
        <v>0</v>
      </c>
      <c r="AG186" s="29">
        <v>0</v>
      </c>
      <c r="AH186" s="29">
        <v>0</v>
      </c>
      <c r="AI186" s="69">
        <v>0</v>
      </c>
      <c r="AJ186" s="39">
        <v>0</v>
      </c>
    </row>
    <row r="187" spans="2:36">
      <c r="B187" s="62" t="s">
        <v>389</v>
      </c>
      <c r="C187" s="63" t="s">
        <v>207</v>
      </c>
      <c r="D187" s="64" t="s">
        <v>207</v>
      </c>
      <c r="E187" s="64" t="s">
        <v>45</v>
      </c>
      <c r="F187" s="64" t="s">
        <v>76</v>
      </c>
      <c r="G187" s="63" t="s">
        <v>387</v>
      </c>
      <c r="H187" s="66" t="s">
        <v>160</v>
      </c>
      <c r="I187" s="64" t="s">
        <v>188</v>
      </c>
      <c r="J187" s="67" t="s">
        <v>92</v>
      </c>
      <c r="K187" s="67">
        <v>2</v>
      </c>
      <c r="L187" s="30">
        <v>2464</v>
      </c>
      <c r="M187" s="30">
        <v>8662.58</v>
      </c>
      <c r="N187" s="31">
        <v>13470.86</v>
      </c>
      <c r="O187" s="32">
        <v>4928</v>
      </c>
      <c r="P187" s="32">
        <v>17325.16</v>
      </c>
      <c r="Q187" s="32">
        <v>26941.72</v>
      </c>
      <c r="R187" s="47">
        <v>7</v>
      </c>
      <c r="S187" s="21">
        <v>46415</v>
      </c>
      <c r="T187" s="21">
        <v>46422</v>
      </c>
      <c r="U187" s="34">
        <v>4</v>
      </c>
      <c r="V187" s="35">
        <v>5</v>
      </c>
      <c r="W187" s="33">
        <v>46416</v>
      </c>
      <c r="X187" s="33">
        <v>46423</v>
      </c>
      <c r="Y187" s="36">
        <v>4</v>
      </c>
      <c r="Z187" s="36">
        <v>5</v>
      </c>
      <c r="AA187" s="68">
        <v>0</v>
      </c>
      <c r="AB187" s="37">
        <v>1</v>
      </c>
      <c r="AC187" s="38">
        <v>1</v>
      </c>
      <c r="AD187" s="39">
        <v>0</v>
      </c>
      <c r="AE187" s="39">
        <v>26941.72</v>
      </c>
      <c r="AF187" s="39">
        <v>0</v>
      </c>
      <c r="AG187" s="29">
        <v>2</v>
      </c>
      <c r="AH187" s="29">
        <v>2</v>
      </c>
      <c r="AI187" s="69">
        <v>1</v>
      </c>
      <c r="AJ187" s="39">
        <v>26941.72</v>
      </c>
    </row>
    <row r="188" spans="2:36">
      <c r="B188" s="62" t="s">
        <v>389</v>
      </c>
      <c r="C188" s="63" t="s">
        <v>207</v>
      </c>
      <c r="D188" s="64" t="s">
        <v>207</v>
      </c>
      <c r="E188" s="64" t="s">
        <v>45</v>
      </c>
      <c r="F188" s="64" t="s">
        <v>47</v>
      </c>
      <c r="G188" s="63" t="s">
        <v>388</v>
      </c>
      <c r="H188" s="66" t="s">
        <v>73</v>
      </c>
      <c r="I188" s="64" t="s">
        <v>189</v>
      </c>
      <c r="J188" s="67" t="s">
        <v>92</v>
      </c>
      <c r="K188" s="67">
        <v>2</v>
      </c>
      <c r="L188" s="30">
        <v>1859.992</v>
      </c>
      <c r="M188" s="30">
        <v>2791.922</v>
      </c>
      <c r="N188" s="31">
        <v>4782.1899999999996</v>
      </c>
      <c r="O188" s="32">
        <v>3719.9839999999999</v>
      </c>
      <c r="P188" s="32">
        <v>5583.8440000000001</v>
      </c>
      <c r="Q188" s="32">
        <v>9564.3799999999992</v>
      </c>
      <c r="R188" s="47">
        <v>7</v>
      </c>
      <c r="S188" s="21">
        <v>46417</v>
      </c>
      <c r="T188" s="21">
        <v>46424</v>
      </c>
      <c r="U188" s="34">
        <v>4</v>
      </c>
      <c r="V188" s="35">
        <v>5</v>
      </c>
      <c r="W188" s="33">
        <v>46417</v>
      </c>
      <c r="X188" s="33">
        <v>46425</v>
      </c>
      <c r="Y188" s="36">
        <v>4</v>
      </c>
      <c r="Z188" s="36">
        <v>5</v>
      </c>
      <c r="AA188" s="68">
        <v>0</v>
      </c>
      <c r="AB188" s="37">
        <v>1</v>
      </c>
      <c r="AC188" s="38">
        <v>1</v>
      </c>
      <c r="AD188" s="39">
        <v>0</v>
      </c>
      <c r="AE188" s="39">
        <v>9564.3799999999992</v>
      </c>
      <c r="AF188" s="39">
        <v>0</v>
      </c>
      <c r="AG188" s="29">
        <v>2</v>
      </c>
      <c r="AH188" s="29">
        <v>2</v>
      </c>
      <c r="AI188" s="69">
        <v>1</v>
      </c>
      <c r="AJ188" s="39">
        <v>9564.3799999999992</v>
      </c>
    </row>
    <row r="189" spans="2:36">
      <c r="B189" s="13"/>
      <c r="C189" s="14"/>
      <c r="D189" s="16"/>
      <c r="E189" s="16"/>
      <c r="F189" s="14"/>
      <c r="G189" s="14"/>
      <c r="H189" s="15"/>
      <c r="I189" s="16"/>
      <c r="J189" s="17"/>
      <c r="K189" s="52">
        <f>SUBTOTAL(109,Tabla2[CANTIDAD])</f>
        <v>4245.05</v>
      </c>
      <c r="L189" s="50"/>
      <c r="M189" s="50"/>
      <c r="N189" s="50"/>
      <c r="O189" s="51">
        <f>SUBTOTAL(109,Tabla2[Costo MO Total])</f>
        <v>1839261.862</v>
      </c>
      <c r="P189" s="51"/>
      <c r="Q189" s="51">
        <f>SUBTOTAL(109,Tabla2[Importe])</f>
        <v>9618551.4246966448</v>
      </c>
      <c r="R189" s="52"/>
      <c r="S189" s="21"/>
      <c r="T189" s="21"/>
      <c r="U189" s="22"/>
      <c r="V189" s="22"/>
      <c r="W189" s="21"/>
      <c r="X189" s="21"/>
      <c r="Y189" s="22"/>
      <c r="Z189" s="22"/>
      <c r="AA189" s="53"/>
      <c r="AB189" s="52"/>
      <c r="AC189" s="54"/>
      <c r="AD189" s="55"/>
      <c r="AE189" s="55"/>
      <c r="AF189" s="55"/>
      <c r="AG189" s="56"/>
      <c r="AH189" s="57"/>
      <c r="AI189" s="55"/>
      <c r="AJ189" s="55"/>
    </row>
  </sheetData>
  <mergeCells count="2">
    <mergeCell ref="AH3:AJ3"/>
    <mergeCell ref="D3:F3"/>
  </mergeCells>
  <phoneticPr fontId="2" type="noConversion"/>
  <conditionalFormatting sqref="AC9:AC188">
    <cfRule type="cellIs" dxfId="37" priority="1" operator="between">
      <formula>10</formula>
      <formula>0</formula>
    </cfRule>
    <cfRule type="cellIs" dxfId="36" priority="2" operator="lessThan">
      <formula>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9169AB28257014FAFC08C68D12C4FE6" ma:contentTypeVersion="13" ma:contentTypeDescription="Crear nuevo documento." ma:contentTypeScope="" ma:versionID="29ff5a38fe765527e12cbda0a6eaa89e">
  <xsd:schema xmlns:xsd="http://www.w3.org/2001/XMLSchema" xmlns:xs="http://www.w3.org/2001/XMLSchema" xmlns:p="http://schemas.microsoft.com/office/2006/metadata/properties" xmlns:ns3="d6dfcff1-51f3-44ea-a855-32e4bc687219" xmlns:ns4="6782f492-ac46-478f-bcee-dea3bcd175ac" targetNamespace="http://schemas.microsoft.com/office/2006/metadata/properties" ma:root="true" ma:fieldsID="3bfea4a774ce68f80e8d9ae7df69674f" ns3:_="" ns4:_="">
    <xsd:import namespace="d6dfcff1-51f3-44ea-a855-32e4bc687219"/>
    <xsd:import namespace="6782f492-ac46-478f-bcee-dea3bcd175ac"/>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dfcff1-51f3-44ea-a855-32e4bc687219"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82f492-ac46-478f-bcee-dea3bcd175ac" elementFormDefault="qualified">
    <xsd:import namespace="http://schemas.microsoft.com/office/2006/documentManagement/types"/>
    <xsd:import namespace="http://schemas.microsoft.com/office/infopath/2007/PartnerControls"/>
    <xsd:element name="SharedWithUsers" ma:index="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Detalles de uso compartido" ma:internalName="SharedWithDetails" ma:readOnly="true">
      <xsd:simpleType>
        <xsd:restriction base="dms:Note">
          <xsd:maxLength value="255"/>
        </xsd:restriction>
      </xsd:simpleType>
    </xsd:element>
    <xsd:element name="SharingHintHash" ma:index="11"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6782f492-ac46-478f-bcee-dea3bcd175ac">
      <UserInfo>
        <DisplayName>Maria Valenzuela</DisplayName>
        <AccountId>22</AccountId>
        <AccountType/>
      </UserInfo>
      <UserInfo>
        <DisplayName>Ricardo Peña</DisplayName>
        <AccountId>105</AccountId>
        <AccountType/>
      </UserInfo>
      <UserInfo>
        <DisplayName>Sandra  Alanis</DisplayName>
        <AccountId>9</AccountId>
        <AccountType/>
      </UserInfo>
      <UserInfo>
        <DisplayName>Emilio Zea Gomez</DisplayName>
        <AccountId>65</AccountId>
        <AccountType/>
      </UserInfo>
      <UserInfo>
        <DisplayName>Lazaro Vazquez</DisplayName>
        <AccountId>19</AccountId>
        <AccountType/>
      </UserInfo>
      <UserInfo>
        <DisplayName>Xóchitl Hernandez</DisplayName>
        <AccountId>81</AccountId>
        <AccountType/>
      </UserInfo>
    </SharedWithUsers>
    <_activity xmlns="d6dfcff1-51f3-44ea-a855-32e4bc68721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645E7A-D196-4E86-9CAC-40611DBB04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dfcff1-51f3-44ea-a855-32e4bc687219"/>
    <ds:schemaRef ds:uri="6782f492-ac46-478f-bcee-dea3bcd175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990791-26B5-41AA-B085-83C2C6ADF67C}">
  <ds:schemaRefs>
    <ds:schemaRef ds:uri="http://purl.org/dc/elements/1.1/"/>
    <ds:schemaRef ds:uri="6782f492-ac46-478f-bcee-dea3bcd175ac"/>
    <ds:schemaRef ds:uri="http://schemas.microsoft.com/office/2006/documentManagement/types"/>
    <ds:schemaRef ds:uri="http://schemas.microsoft.com/office/2006/metadata/properties"/>
    <ds:schemaRef ds:uri="d6dfcff1-51f3-44ea-a855-32e4bc687219"/>
    <ds:schemaRef ds:uri="http://purl.org/dc/dcmitype/"/>
    <ds:schemaRef ds:uri="http://schemas.microsoft.com/office/infopath/2007/PartnerControl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C1CFFDFA-2D8F-401E-ADC1-DE5ADA56FC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Dummy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Martínez de Silva</dc:creator>
  <cp:keywords/>
  <dc:description/>
  <cp:lastModifiedBy>Francisco Quiroga</cp:lastModifiedBy>
  <cp:revision/>
  <dcterms:created xsi:type="dcterms:W3CDTF">2022-02-19T15:24:35Z</dcterms:created>
  <dcterms:modified xsi:type="dcterms:W3CDTF">2026-06-02T16:36:36Z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0x010100B9169AB28257014FAFC08C68D12C4FE6</vt:lpwstr>
  </property>
  <property fmtid="{D5CDD505-2E9C-101B-9397-08002B2CF9AE}" pid="3" name="Order">
    <vt:r8>462800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