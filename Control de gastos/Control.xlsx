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tctermocontrolsa-my.sharepoint.com/personal/bi_gtc_com_mx/Documents/Escritorio/"/>
    </mc:Choice>
  </mc:AlternateContent>
  <xr:revisionPtr revIDLastSave="4725" documentId="8_{E8DF3EC6-513C-4583-9DB3-5CB3AE76D1D0}" xr6:coauthVersionLast="47" xr6:coauthVersionMax="47" xr10:uidLastSave="{C882B888-F3E0-40A5-8345-4CA77AAACE60}"/>
  <bookViews>
    <workbookView xWindow="1920" yWindow="1920" windowWidth="17280" windowHeight="8880" firstSheet="5" activeTab="5" xr2:uid="{3258C214-2EAD-460F-A6E1-4CB4212BE5C8}"/>
  </bookViews>
  <sheets>
    <sheet name="✈️" sheetId="3" r:id="rId1"/>
    <sheet name="Ingresos" sheetId="12" r:id="rId2"/>
    <sheet name="Gasto Real" sheetId="14" r:id="rId3"/>
    <sheet name="Evento R" sheetId="15" r:id="rId4"/>
    <sheet name="Goals" sheetId="17" r:id="rId5"/>
    <sheet name="Resumen" sheetId="18" r:id="rId6"/>
  </sheets>
  <definedNames>
    <definedName name="_xlnm._FilterDatabase" localSheetId="3" hidden="1">'Evento R'!$A$1:$P$246</definedName>
    <definedName name="_xlnm._FilterDatabase" localSheetId="1" hidden="1">Ingresos!$A$1:$J$246</definedName>
    <definedName name="_xlnm._FilterDatabase" localSheetId="5" hidden="1">Resumen!$A$1:$AH$17</definedName>
    <definedName name="Fin_E" localSheetId="3">#REF!</definedName>
    <definedName name="Fin_E" localSheetId="2">#REF!</definedName>
    <definedName name="Fin_E">#REF!</definedName>
    <definedName name="Fin_ER" localSheetId="3">#REF!</definedName>
    <definedName name="Fin_ER" localSheetId="2">#REF!</definedName>
    <definedName name="Fin_ER">#REF!</definedName>
    <definedName name="Fin_N" localSheetId="3">#REF!</definedName>
    <definedName name="Fin_N" localSheetId="2">#REF!</definedName>
    <definedName name="Fin_N">#REF!</definedName>
    <definedName name="Fin_P">#REF!</definedName>
    <definedName name="Fin_R" localSheetId="3">#REF!</definedName>
    <definedName name="Fin_R" localSheetId="2">#REF!</definedName>
    <definedName name="Fin_R">#REF!</definedName>
    <definedName name="Inicio_E" localSheetId="3">#REF!</definedName>
    <definedName name="Inicio_E" localSheetId="2">#REF!</definedName>
    <definedName name="Inicio_E">#REF!</definedName>
    <definedName name="Inicio_ER" localSheetId="3">#REF!</definedName>
    <definedName name="Inicio_ER" localSheetId="2">#REF!</definedName>
    <definedName name="Inicio_ER">#REF!</definedName>
    <definedName name="Inicio_N" localSheetId="3">#REF!</definedName>
    <definedName name="Inicio_N" localSheetId="2">#REF!</definedName>
    <definedName name="Inicio_N">#REF!</definedName>
    <definedName name="Inicio_P">#REF!</definedName>
    <definedName name="Inicio_R" localSheetId="3">#REF!</definedName>
    <definedName name="Inicio_R" localSheetId="2">#REF!</definedName>
    <definedName name="Inicio_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18" l="1"/>
  <c r="AT4" i="18" s="1"/>
  <c r="AV4" i="18" s="1"/>
  <c r="Y3" i="18"/>
  <c r="Y4" i="18"/>
  <c r="AE17" i="18"/>
  <c r="AD17" i="18"/>
  <c r="AC17" i="18"/>
  <c r="AB17" i="18"/>
  <c r="AA17" i="18"/>
  <c r="Z17" i="18"/>
  <c r="Y17" i="18"/>
  <c r="X17" i="18"/>
  <c r="W17" i="18"/>
  <c r="V17" i="18"/>
  <c r="AE16" i="18"/>
  <c r="AD16" i="18"/>
  <c r="AC16" i="18"/>
  <c r="AB16" i="18"/>
  <c r="AA16" i="18"/>
  <c r="Z16" i="18"/>
  <c r="Y16" i="18"/>
  <c r="X16" i="18"/>
  <c r="W16" i="18"/>
  <c r="V16" i="18"/>
  <c r="AE15" i="18"/>
  <c r="AD15" i="18"/>
  <c r="AC15" i="18"/>
  <c r="AB15" i="18"/>
  <c r="AA15" i="18"/>
  <c r="Z15" i="18"/>
  <c r="Y15" i="18"/>
  <c r="X15" i="18"/>
  <c r="W15" i="18"/>
  <c r="V15" i="18"/>
  <c r="AE14" i="18"/>
  <c r="AD14" i="18"/>
  <c r="AC14" i="18"/>
  <c r="AB14" i="18"/>
  <c r="AA14" i="18"/>
  <c r="Z14" i="18"/>
  <c r="Y14" i="18"/>
  <c r="X14" i="18"/>
  <c r="W14" i="18"/>
  <c r="V14" i="18"/>
  <c r="AE13" i="18"/>
  <c r="AD13" i="18"/>
  <c r="AC13" i="18"/>
  <c r="AB13" i="18"/>
  <c r="AA13" i="18"/>
  <c r="Z13" i="18"/>
  <c r="Y13" i="18"/>
  <c r="X13" i="18"/>
  <c r="W13" i="18"/>
  <c r="V13" i="18"/>
  <c r="AE12" i="18"/>
  <c r="AD12" i="18"/>
  <c r="AC12" i="18"/>
  <c r="AB12" i="18"/>
  <c r="AA12" i="18"/>
  <c r="Z12" i="18"/>
  <c r="Y12" i="18"/>
  <c r="X12" i="18"/>
  <c r="W12" i="18"/>
  <c r="V12" i="18"/>
  <c r="AE11" i="18"/>
  <c r="AD11" i="18"/>
  <c r="AC11" i="18"/>
  <c r="AB11" i="18"/>
  <c r="AA11" i="18"/>
  <c r="Z11" i="18"/>
  <c r="Y11" i="18"/>
  <c r="X11" i="18"/>
  <c r="W11" i="18"/>
  <c r="V11" i="18"/>
  <c r="AE10" i="18"/>
  <c r="AD10" i="18"/>
  <c r="AC10" i="18"/>
  <c r="AB10" i="18"/>
  <c r="AA10" i="18"/>
  <c r="Z10" i="18"/>
  <c r="Y10" i="18"/>
  <c r="X10" i="18"/>
  <c r="W10" i="18"/>
  <c r="V10" i="18"/>
  <c r="AE9" i="18"/>
  <c r="AD9" i="18"/>
  <c r="AC9" i="18"/>
  <c r="AB9" i="18"/>
  <c r="AA9" i="18"/>
  <c r="Z9" i="18"/>
  <c r="Y9" i="18"/>
  <c r="X9" i="18"/>
  <c r="W9" i="18"/>
  <c r="V9" i="18"/>
  <c r="AE8" i="18"/>
  <c r="AD8" i="18"/>
  <c r="AC8" i="18"/>
  <c r="AB8" i="18"/>
  <c r="AA8" i="18"/>
  <c r="Z8" i="18"/>
  <c r="Y8" i="18"/>
  <c r="X8" i="18"/>
  <c r="W8" i="18"/>
  <c r="V8" i="18"/>
  <c r="AE7" i="18"/>
  <c r="AD7" i="18"/>
  <c r="AC7" i="18"/>
  <c r="AB7" i="18"/>
  <c r="AA7" i="18"/>
  <c r="Z7" i="18"/>
  <c r="Y7" i="18"/>
  <c r="X7" i="18"/>
  <c r="W7" i="18"/>
  <c r="V7" i="18"/>
  <c r="AE6" i="18"/>
  <c r="AD6" i="18"/>
  <c r="AC6" i="18"/>
  <c r="AB6" i="18"/>
  <c r="AA6" i="18"/>
  <c r="Z6" i="18"/>
  <c r="Y6" i="18"/>
  <c r="X6" i="18"/>
  <c r="W6" i="18"/>
  <c r="V6" i="18"/>
  <c r="AE5" i="18"/>
  <c r="AD5" i="18"/>
  <c r="AC5" i="18"/>
  <c r="AB5" i="18"/>
  <c r="AA5" i="18"/>
  <c r="Z5" i="18"/>
  <c r="Y5" i="18"/>
  <c r="X5" i="18"/>
  <c r="W5" i="18"/>
  <c r="V5" i="18"/>
  <c r="AE4" i="18"/>
  <c r="AD4" i="18"/>
  <c r="AC4" i="18"/>
  <c r="AB4" i="18"/>
  <c r="AA4" i="18"/>
  <c r="Z4" i="18"/>
  <c r="X4" i="18"/>
  <c r="W4" i="18"/>
  <c r="V4" i="18"/>
  <c r="AE3" i="18"/>
  <c r="AD3" i="18"/>
  <c r="AC3" i="18"/>
  <c r="AB3" i="18"/>
  <c r="AA3" i="18"/>
  <c r="Z3" i="18"/>
  <c r="X3" i="18"/>
  <c r="W3" i="18"/>
  <c r="V3" i="18"/>
  <c r="AE2" i="18"/>
  <c r="AD2" i="18"/>
  <c r="AC2" i="18"/>
  <c r="AB2" i="18"/>
  <c r="AA2" i="18"/>
  <c r="Z2" i="18"/>
  <c r="Y2" i="18"/>
  <c r="X2" i="18"/>
  <c r="W2" i="18"/>
  <c r="V2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AC235" i="15"/>
  <c r="AC234" i="15"/>
  <c r="AC233" i="15"/>
  <c r="AC232" i="15"/>
  <c r="AC231" i="15"/>
  <c r="AC230" i="15"/>
  <c r="AC229" i="15"/>
  <c r="AC228" i="15"/>
  <c r="AC227" i="15"/>
  <c r="AC226" i="15"/>
  <c r="AC225" i="15"/>
  <c r="AC224" i="15"/>
  <c r="AC223" i="15"/>
  <c r="AC222" i="15"/>
  <c r="AC221" i="15"/>
  <c r="AC220" i="15"/>
  <c r="AC219" i="15"/>
  <c r="AC218" i="15"/>
  <c r="AC217" i="15"/>
  <c r="AC216" i="15"/>
  <c r="AC215" i="15"/>
  <c r="AC214" i="15"/>
  <c r="AC213" i="15"/>
  <c r="AC212" i="15"/>
  <c r="AC211" i="15"/>
  <c r="AC210" i="15"/>
  <c r="AC209" i="15"/>
  <c r="AC208" i="15"/>
  <c r="AC207" i="15"/>
  <c r="AC206" i="15"/>
  <c r="AC205" i="15"/>
  <c r="AC204" i="15"/>
  <c r="AC203" i="15"/>
  <c r="AC202" i="15"/>
  <c r="AC201" i="15"/>
  <c r="AC200" i="15"/>
  <c r="AC199" i="15"/>
  <c r="AC198" i="15"/>
  <c r="AC197" i="15"/>
  <c r="AC196" i="15"/>
  <c r="AC195" i="15"/>
  <c r="AC194" i="15"/>
  <c r="AC193" i="15"/>
  <c r="AC192" i="15"/>
  <c r="AC191" i="15"/>
  <c r="AC190" i="15"/>
  <c r="AC189" i="15"/>
  <c r="AC188" i="15"/>
  <c r="AC187" i="15"/>
  <c r="AC186" i="15"/>
  <c r="AC185" i="15"/>
  <c r="AC184" i="15"/>
  <c r="AC183" i="15"/>
  <c r="AC182" i="15"/>
  <c r="AC181" i="15"/>
  <c r="AC180" i="15"/>
  <c r="AC179" i="15"/>
  <c r="AC178" i="15"/>
  <c r="AC177" i="15"/>
  <c r="AC176" i="15"/>
  <c r="AC175" i="15"/>
  <c r="AC174" i="15"/>
  <c r="AC173" i="15"/>
  <c r="AC172" i="15"/>
  <c r="AC171" i="15"/>
  <c r="AC170" i="15"/>
  <c r="AC169" i="15"/>
  <c r="AC168" i="15"/>
  <c r="AC167" i="15"/>
  <c r="AC166" i="15"/>
  <c r="AC165" i="15"/>
  <c r="AC164" i="15"/>
  <c r="AC163" i="15"/>
  <c r="AC162" i="15"/>
  <c r="AC161" i="15"/>
  <c r="AC160" i="15"/>
  <c r="AC159" i="15"/>
  <c r="AC158" i="15"/>
  <c r="AC157" i="15"/>
  <c r="AC156" i="15"/>
  <c r="AC155" i="15"/>
  <c r="AC154" i="15"/>
  <c r="AC153" i="15"/>
  <c r="AC152" i="15"/>
  <c r="AC151" i="15"/>
  <c r="AC150" i="15"/>
  <c r="AC149" i="15"/>
  <c r="AC148" i="15"/>
  <c r="AC147" i="15"/>
  <c r="AC146" i="15"/>
  <c r="AC145" i="15"/>
  <c r="AC144" i="15"/>
  <c r="AC143" i="15"/>
  <c r="AC142" i="15"/>
  <c r="AC141" i="15"/>
  <c r="AC140" i="15"/>
  <c r="AC139" i="15"/>
  <c r="AC138" i="15"/>
  <c r="AC137" i="15"/>
  <c r="AC136" i="15"/>
  <c r="AC135" i="15"/>
  <c r="AC134" i="15"/>
  <c r="AC133" i="15"/>
  <c r="AC132" i="15"/>
  <c r="AC131" i="15"/>
  <c r="AC130" i="15"/>
  <c r="AC129" i="15"/>
  <c r="AC128" i="15"/>
  <c r="AC127" i="15"/>
  <c r="AC126" i="15"/>
  <c r="AC125" i="15"/>
  <c r="AC124" i="15"/>
  <c r="AC123" i="15"/>
  <c r="AC122" i="15"/>
  <c r="AC121" i="15"/>
  <c r="AC120" i="15"/>
  <c r="AC119" i="15"/>
  <c r="AC118" i="15"/>
  <c r="AC117" i="15"/>
  <c r="AC116" i="15"/>
  <c r="AC115" i="15"/>
  <c r="AC114" i="15"/>
  <c r="AC113" i="15"/>
  <c r="AC112" i="15"/>
  <c r="AC111" i="15"/>
  <c r="AC110" i="15"/>
  <c r="AC109" i="15"/>
  <c r="AC108" i="15"/>
  <c r="AC107" i="15"/>
  <c r="AC106" i="15"/>
  <c r="AC105" i="15"/>
  <c r="AC104" i="15"/>
  <c r="AC103" i="15"/>
  <c r="AC102" i="15"/>
  <c r="AC101" i="15"/>
  <c r="AC100" i="15"/>
  <c r="AC99" i="15"/>
  <c r="AC98" i="15"/>
  <c r="AC97" i="15"/>
  <c r="AC96" i="15"/>
  <c r="AC95" i="15"/>
  <c r="AC94" i="15"/>
  <c r="AC93" i="15"/>
  <c r="AC92" i="15"/>
  <c r="AC91" i="15"/>
  <c r="AC90" i="15"/>
  <c r="AC89" i="15"/>
  <c r="AC88" i="15"/>
  <c r="AC87" i="15"/>
  <c r="AC86" i="15"/>
  <c r="AC85" i="15"/>
  <c r="AC84" i="15"/>
  <c r="AC83" i="15"/>
  <c r="AC82" i="15"/>
  <c r="AC81" i="15"/>
  <c r="AC80" i="15"/>
  <c r="AC79" i="15"/>
  <c r="AC78" i="15"/>
  <c r="AC77" i="15"/>
  <c r="AC76" i="15"/>
  <c r="AC75" i="15"/>
  <c r="AC74" i="15"/>
  <c r="AC73" i="15"/>
  <c r="AC72" i="15"/>
  <c r="AC71" i="15"/>
  <c r="AC70" i="15"/>
  <c r="AC69" i="15"/>
  <c r="AC68" i="15"/>
  <c r="AC67" i="15"/>
  <c r="AC66" i="15"/>
  <c r="AC65" i="15"/>
  <c r="AC64" i="15"/>
  <c r="AC63" i="15"/>
  <c r="AC62" i="15"/>
  <c r="AC61" i="15"/>
  <c r="AC60" i="15"/>
  <c r="AC59" i="15"/>
  <c r="AC58" i="15"/>
  <c r="AC57" i="15"/>
  <c r="AC56" i="15"/>
  <c r="AC55" i="15"/>
  <c r="AC54" i="15"/>
  <c r="AC53" i="15"/>
  <c r="AC52" i="15"/>
  <c r="AC51" i="15"/>
  <c r="AC50" i="15"/>
  <c r="AC49" i="15"/>
  <c r="AC48" i="15"/>
  <c r="AC47" i="15"/>
  <c r="AC46" i="15"/>
  <c r="AC45" i="15"/>
  <c r="AC44" i="15"/>
  <c r="AC43" i="15"/>
  <c r="AC42" i="15"/>
  <c r="AC41" i="15"/>
  <c r="AC40" i="15"/>
  <c r="AC39" i="15"/>
  <c r="AC38" i="15"/>
  <c r="AC37" i="15"/>
  <c r="AC36" i="15"/>
  <c r="AC35" i="15"/>
  <c r="AC34" i="15"/>
  <c r="AC33" i="15"/>
  <c r="AC32" i="15"/>
  <c r="AC31" i="15"/>
  <c r="AC30" i="15"/>
  <c r="AC29" i="15"/>
  <c r="AC28" i="15"/>
  <c r="AC27" i="15"/>
  <c r="AC26" i="15"/>
  <c r="AC25" i="15"/>
  <c r="AC24" i="15"/>
  <c r="AC23" i="15"/>
  <c r="AC22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8" i="15"/>
  <c r="AC7" i="15"/>
  <c r="AC6" i="15"/>
  <c r="AC5" i="15"/>
  <c r="AC4" i="15"/>
  <c r="AC3" i="15"/>
  <c r="AC2" i="15"/>
  <c r="H246" i="14"/>
  <c r="Y246" i="14" s="1"/>
  <c r="H245" i="14"/>
  <c r="H244" i="14"/>
  <c r="H243" i="14"/>
  <c r="H241" i="14"/>
  <c r="H240" i="14"/>
  <c r="Y240" i="14" s="1"/>
  <c r="H239" i="14"/>
  <c r="H238" i="14"/>
  <c r="H237" i="14"/>
  <c r="Y237" i="14" s="1"/>
  <c r="H236" i="14"/>
  <c r="Y236" i="14" s="1"/>
  <c r="H234" i="14"/>
  <c r="Y234" i="14" s="1"/>
  <c r="H233" i="14"/>
  <c r="Y233" i="14" s="1"/>
  <c r="H232" i="14"/>
  <c r="Y232" i="14" s="1"/>
  <c r="H231" i="14"/>
  <c r="Y231" i="14" s="1"/>
  <c r="H230" i="14"/>
  <c r="Y230" i="14" s="1"/>
  <c r="H229" i="14"/>
  <c r="Y229" i="14" s="1"/>
  <c r="H227" i="14"/>
  <c r="Y227" i="14" s="1"/>
  <c r="H226" i="14"/>
  <c r="H225" i="14"/>
  <c r="H224" i="14"/>
  <c r="H223" i="14"/>
  <c r="H222" i="14"/>
  <c r="H220" i="14"/>
  <c r="H219" i="14"/>
  <c r="Y219" i="14" s="1"/>
  <c r="H218" i="14"/>
  <c r="H217" i="14"/>
  <c r="H216" i="14"/>
  <c r="Y216" i="14" s="1"/>
  <c r="H215" i="14"/>
  <c r="Y215" i="14" s="1"/>
  <c r="H213" i="14"/>
  <c r="Y213" i="14" s="1"/>
  <c r="H212" i="14"/>
  <c r="Y212" i="14" s="1"/>
  <c r="H211" i="14"/>
  <c r="Y211" i="14" s="1"/>
  <c r="H210" i="14"/>
  <c r="Y210" i="14" s="1"/>
  <c r="H209" i="14"/>
  <c r="H208" i="14"/>
  <c r="H206" i="14"/>
  <c r="Y206" i="14" s="1"/>
  <c r="H205" i="14"/>
  <c r="H204" i="14"/>
  <c r="Y204" i="14" s="1"/>
  <c r="H203" i="14"/>
  <c r="Y203" i="14" s="1"/>
  <c r="H202" i="14"/>
  <c r="H201" i="14"/>
  <c r="H199" i="14"/>
  <c r="H198" i="14"/>
  <c r="H197" i="14"/>
  <c r="Y197" i="14" s="1"/>
  <c r="H196" i="14"/>
  <c r="Y196" i="14" s="1"/>
  <c r="H195" i="14"/>
  <c r="Y195" i="14" s="1"/>
  <c r="H194" i="14"/>
  <c r="Y194" i="14" s="1"/>
  <c r="H192" i="14"/>
  <c r="Y192" i="14" s="1"/>
  <c r="H191" i="14"/>
  <c r="Y191" i="14" s="1"/>
  <c r="H190" i="14"/>
  <c r="H189" i="14"/>
  <c r="H188" i="14"/>
  <c r="H187" i="14"/>
  <c r="Y187" i="14" s="1"/>
  <c r="H185" i="14"/>
  <c r="H184" i="14"/>
  <c r="H183" i="14"/>
  <c r="H182" i="14"/>
  <c r="H181" i="14"/>
  <c r="H180" i="14"/>
  <c r="H178" i="14"/>
  <c r="Y178" i="14" s="1"/>
  <c r="H177" i="14"/>
  <c r="Y177" i="14" s="1"/>
  <c r="H176" i="14"/>
  <c r="Y176" i="14" s="1"/>
  <c r="H175" i="14"/>
  <c r="Y175" i="14" s="1"/>
  <c r="H174" i="14"/>
  <c r="Y174" i="14" s="1"/>
  <c r="H173" i="14"/>
  <c r="Y173" i="14" s="1"/>
  <c r="H171" i="14"/>
  <c r="Y171" i="14" s="1"/>
  <c r="H170" i="14"/>
  <c r="Y170" i="14" s="1"/>
  <c r="H169" i="14"/>
  <c r="H168" i="14"/>
  <c r="H167" i="14"/>
  <c r="H166" i="14"/>
  <c r="H164" i="14"/>
  <c r="H163" i="14"/>
  <c r="Y163" i="14" s="1"/>
  <c r="H162" i="14"/>
  <c r="Y162" i="14" s="1"/>
  <c r="H161" i="14"/>
  <c r="Y161" i="14" s="1"/>
  <c r="H160" i="14"/>
  <c r="Y160" i="14" s="1"/>
  <c r="H159" i="14"/>
  <c r="Y159" i="14" s="1"/>
  <c r="H157" i="14"/>
  <c r="Y157" i="14" s="1"/>
  <c r="H156" i="14"/>
  <c r="Y156" i="14" s="1"/>
  <c r="H155" i="14"/>
  <c r="Y155" i="14" s="1"/>
  <c r="H154" i="14"/>
  <c r="Y154" i="14" s="1"/>
  <c r="H153" i="14"/>
  <c r="H152" i="14"/>
  <c r="H150" i="14"/>
  <c r="H149" i="14"/>
  <c r="H148" i="14"/>
  <c r="H147" i="14"/>
  <c r="H146" i="14"/>
  <c r="H145" i="14"/>
  <c r="H143" i="14"/>
  <c r="Y143" i="14" s="1"/>
  <c r="H142" i="14"/>
  <c r="Y142" i="14" s="1"/>
  <c r="H141" i="14"/>
  <c r="Y141" i="14" s="1"/>
  <c r="H140" i="14"/>
  <c r="Y140" i="14" s="1"/>
  <c r="H139" i="14"/>
  <c r="Y139" i="14" s="1"/>
  <c r="H138" i="14"/>
  <c r="H136" i="14"/>
  <c r="Y136" i="14" s="1"/>
  <c r="H135" i="14"/>
  <c r="H134" i="14"/>
  <c r="Y134" i="14" s="1"/>
  <c r="H133" i="14"/>
  <c r="H132" i="14"/>
  <c r="H131" i="14"/>
  <c r="H129" i="14"/>
  <c r="H128" i="14"/>
  <c r="Y128" i="14" s="1"/>
  <c r="H127" i="14"/>
  <c r="H126" i="14"/>
  <c r="H125" i="14"/>
  <c r="Y125" i="14" s="1"/>
  <c r="H124" i="14"/>
  <c r="Y124" i="14" s="1"/>
  <c r="H122" i="14"/>
  <c r="Y122" i="14" s="1"/>
  <c r="H121" i="14"/>
  <c r="Y121" i="14" s="1"/>
  <c r="H120" i="14"/>
  <c r="Y120" i="14" s="1"/>
  <c r="H119" i="14"/>
  <c r="Y119" i="14" s="1"/>
  <c r="H118" i="14"/>
  <c r="Y118" i="14" s="1"/>
  <c r="H117" i="14"/>
  <c r="Y117" i="14" s="1"/>
  <c r="H115" i="14"/>
  <c r="H114" i="14"/>
  <c r="H113" i="14"/>
  <c r="H112" i="14"/>
  <c r="H111" i="14"/>
  <c r="H110" i="14"/>
  <c r="H108" i="14"/>
  <c r="H107" i="14"/>
  <c r="Y107" i="14" s="1"/>
  <c r="H106" i="14"/>
  <c r="H105" i="14"/>
  <c r="H104" i="14"/>
  <c r="Y104" i="14" s="1"/>
  <c r="H103" i="14"/>
  <c r="Y103" i="14" s="1"/>
  <c r="H101" i="14"/>
  <c r="Y101" i="14" s="1"/>
  <c r="H100" i="14"/>
  <c r="Y100" i="14" s="1"/>
  <c r="H99" i="14"/>
  <c r="Y99" i="14" s="1"/>
  <c r="H98" i="14"/>
  <c r="Y98" i="14" s="1"/>
  <c r="H97" i="14"/>
  <c r="Y97" i="14" s="1"/>
  <c r="H96" i="14"/>
  <c r="Y96" i="14" s="1"/>
  <c r="H94" i="14"/>
  <c r="Y94" i="14" s="1"/>
  <c r="H93" i="14"/>
  <c r="Y93" i="14" s="1"/>
  <c r="H92" i="14"/>
  <c r="Y92" i="14" s="1"/>
  <c r="H91" i="14"/>
  <c r="Y91" i="14" s="1"/>
  <c r="H90" i="14"/>
  <c r="H89" i="14"/>
  <c r="H87" i="14"/>
  <c r="H86" i="14"/>
  <c r="H85" i="14"/>
  <c r="Y85" i="14" s="1"/>
  <c r="H84" i="14"/>
  <c r="Y84" i="14" s="1"/>
  <c r="H83" i="14"/>
  <c r="Y83" i="14" s="1"/>
  <c r="H82" i="14"/>
  <c r="Y82" i="14" s="1"/>
  <c r="H80" i="14"/>
  <c r="Y80" i="14" s="1"/>
  <c r="H79" i="14"/>
  <c r="Y79" i="14" s="1"/>
  <c r="H78" i="14"/>
  <c r="H77" i="14"/>
  <c r="H76" i="14"/>
  <c r="Y76" i="14" s="1"/>
  <c r="H75" i="14"/>
  <c r="Y75" i="14" s="1"/>
  <c r="H73" i="14"/>
  <c r="H72" i="14"/>
  <c r="H71" i="14"/>
  <c r="H70" i="14"/>
  <c r="H69" i="14"/>
  <c r="H68" i="14"/>
  <c r="H66" i="14"/>
  <c r="Y66" i="14" s="1"/>
  <c r="H65" i="14"/>
  <c r="Y65" i="14" s="1"/>
  <c r="H64" i="14"/>
  <c r="Y64" i="14" s="1"/>
  <c r="H63" i="14"/>
  <c r="Y63" i="14" s="1"/>
  <c r="H62" i="14"/>
  <c r="Y62" i="14" s="1"/>
  <c r="H61" i="14"/>
  <c r="Y61" i="14" s="1"/>
  <c r="H59" i="14"/>
  <c r="H58" i="14"/>
  <c r="H57" i="14"/>
  <c r="H56" i="14"/>
  <c r="H55" i="14"/>
  <c r="H54" i="14"/>
  <c r="H52" i="14"/>
  <c r="H51" i="14"/>
  <c r="Y51" i="14" s="1"/>
  <c r="H50" i="14"/>
  <c r="Y50" i="14" s="1"/>
  <c r="H49" i="14"/>
  <c r="Y49" i="14" s="1"/>
  <c r="H48" i="14"/>
  <c r="Y48" i="14" s="1"/>
  <c r="H47" i="14"/>
  <c r="Y47" i="14" s="1"/>
  <c r="H45" i="14"/>
  <c r="Y45" i="14" s="1"/>
  <c r="H44" i="14"/>
  <c r="Y44" i="14" s="1"/>
  <c r="H43" i="14"/>
  <c r="Y43" i="14" s="1"/>
  <c r="H42" i="14"/>
  <c r="H41" i="14"/>
  <c r="H40" i="14"/>
  <c r="Y40" i="14" s="1"/>
  <c r="H38" i="14"/>
  <c r="H37" i="14"/>
  <c r="Y37" i="14" s="1"/>
  <c r="H36" i="14"/>
  <c r="Y36" i="14" s="1"/>
  <c r="H35" i="14"/>
  <c r="Y35" i="14" s="1"/>
  <c r="H34" i="14"/>
  <c r="Y34" i="14" s="1"/>
  <c r="H33" i="14"/>
  <c r="Y33" i="14" s="1"/>
  <c r="H31" i="14"/>
  <c r="Y31" i="14" s="1"/>
  <c r="H30" i="14"/>
  <c r="Y30" i="14" s="1"/>
  <c r="H29" i="14"/>
  <c r="Y29" i="14" s="1"/>
  <c r="H28" i="14"/>
  <c r="Y28" i="14" s="1"/>
  <c r="H27" i="14"/>
  <c r="Y27" i="14" s="1"/>
  <c r="H26" i="14"/>
  <c r="H24" i="14"/>
  <c r="H23" i="14"/>
  <c r="H22" i="14"/>
  <c r="H21" i="14"/>
  <c r="H20" i="14"/>
  <c r="H19" i="14"/>
  <c r="H17" i="14"/>
  <c r="Y17" i="14" s="1"/>
  <c r="H16" i="14"/>
  <c r="Y16" i="14" s="1"/>
  <c r="H15" i="14"/>
  <c r="Y15" i="14" s="1"/>
  <c r="G2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H14" i="14"/>
  <c r="Y14" i="14" s="1"/>
  <c r="Y209" i="14"/>
  <c r="Y208" i="14"/>
  <c r="Y190" i="14"/>
  <c r="Y153" i="14"/>
  <c r="Y78" i="14"/>
  <c r="Y77" i="14"/>
  <c r="H13" i="14"/>
  <c r="H12" i="14"/>
  <c r="Y12" i="14" s="1"/>
  <c r="H10" i="14"/>
  <c r="Y10" i="14" s="1"/>
  <c r="H9" i="14"/>
  <c r="Y9" i="14" s="1"/>
  <c r="H8" i="14"/>
  <c r="Y8" i="14" s="1"/>
  <c r="H7" i="14"/>
  <c r="Y7" i="14" s="1"/>
  <c r="E15" i="3"/>
  <c r="Y4" i="14"/>
  <c r="O2" i="14"/>
  <c r="N2" i="14"/>
  <c r="H6" i="14"/>
  <c r="Y6" i="14" s="1"/>
  <c r="H5" i="14"/>
  <c r="Y5" i="14" s="1"/>
  <c r="H3" i="14"/>
  <c r="Y3" i="14" s="1"/>
  <c r="Y152" i="14"/>
  <c r="Y38" i="14"/>
  <c r="Y20" i="14"/>
  <c r="Y226" i="14"/>
  <c r="Y205" i="14"/>
  <c r="Y245" i="14"/>
  <c r="Y242" i="14"/>
  <c r="Y228" i="14"/>
  <c r="Y221" i="14"/>
  <c r="Y214" i="14"/>
  <c r="Y200" i="14"/>
  <c r="Y165" i="14"/>
  <c r="Y151" i="14"/>
  <c r="Y137" i="14"/>
  <c r="Y133" i="14"/>
  <c r="Y130" i="14"/>
  <c r="Y116" i="14"/>
  <c r="Y115" i="14"/>
  <c r="Y109" i="14"/>
  <c r="Y59" i="14"/>
  <c r="Y58" i="14"/>
  <c r="Y102" i="14"/>
  <c r="Y88" i="14"/>
  <c r="Y22" i="14"/>
  <c r="Y21" i="14"/>
  <c r="Y53" i="14"/>
  <c r="Y39" i="14"/>
  <c r="AC246" i="15"/>
  <c r="AC245" i="15"/>
  <c r="AC244" i="15"/>
  <c r="AC243" i="15"/>
  <c r="AC242" i="15"/>
  <c r="AC241" i="15"/>
  <c r="AC240" i="15"/>
  <c r="AC239" i="15"/>
  <c r="AC238" i="15"/>
  <c r="AC237" i="15"/>
  <c r="AC236" i="15"/>
  <c r="Y235" i="14"/>
  <c r="Y207" i="14"/>
  <c r="Y193" i="14"/>
  <c r="Y189" i="14"/>
  <c r="Y188" i="14"/>
  <c r="Y186" i="14"/>
  <c r="Y179" i="14"/>
  <c r="Y172" i="14"/>
  <c r="Y158" i="14"/>
  <c r="Y149" i="14"/>
  <c r="Y144" i="14"/>
  <c r="Y123" i="14"/>
  <c r="Y114" i="14"/>
  <c r="Y95" i="14"/>
  <c r="Y81" i="14"/>
  <c r="Y74" i="14"/>
  <c r="Y67" i="14"/>
  <c r="Y60" i="14"/>
  <c r="Y46" i="14"/>
  <c r="Y32" i="14"/>
  <c r="Y25" i="14"/>
  <c r="Y18" i="14"/>
  <c r="Y13" i="14"/>
  <c r="Y11" i="14"/>
  <c r="D15" i="3"/>
  <c r="E14" i="3"/>
  <c r="D14" i="3"/>
  <c r="E13" i="3"/>
  <c r="D13" i="3"/>
  <c r="E12" i="3"/>
  <c r="D12" i="3"/>
  <c r="H9" i="3"/>
  <c r="G9" i="3"/>
  <c r="F9" i="3"/>
  <c r="E9" i="3"/>
  <c r="D9" i="3"/>
  <c r="C9" i="3"/>
  <c r="K9" i="3" s="1"/>
  <c r="K8" i="3"/>
  <c r="J8" i="3"/>
  <c r="I8" i="3"/>
  <c r="M8" i="3" s="1"/>
  <c r="M7" i="3"/>
  <c r="K7" i="3"/>
  <c r="J7" i="3"/>
  <c r="I7" i="3"/>
  <c r="L7" i="3" s="1"/>
  <c r="K6" i="3"/>
  <c r="J6" i="3"/>
  <c r="I6" i="3"/>
  <c r="K5" i="3"/>
  <c r="J5" i="3"/>
  <c r="I5" i="3"/>
  <c r="L5" i="3" s="1"/>
  <c r="J3" i="17"/>
  <c r="I3" i="17"/>
  <c r="H3" i="17"/>
  <c r="G3" i="17"/>
  <c r="F3" i="17"/>
  <c r="E3" i="17"/>
  <c r="D3" i="17"/>
  <c r="C3" i="17"/>
  <c r="B3" i="17"/>
  <c r="U12" i="18" l="1"/>
  <c r="U4" i="18"/>
  <c r="AF12" i="18"/>
  <c r="U7" i="18"/>
  <c r="U2" i="18"/>
  <c r="U17" i="18"/>
  <c r="AF7" i="18"/>
  <c r="AF15" i="18"/>
  <c r="AF4" i="18"/>
  <c r="AF5" i="18"/>
  <c r="AF8" i="18"/>
  <c r="AF10" i="18"/>
  <c r="AF13" i="18"/>
  <c r="AF6" i="18"/>
  <c r="AF14" i="18"/>
  <c r="AF9" i="18"/>
  <c r="AF17" i="18"/>
  <c r="AF16" i="18"/>
  <c r="AF3" i="18"/>
  <c r="AF11" i="18"/>
  <c r="AF2" i="18"/>
  <c r="AH2" i="18" s="1"/>
  <c r="U8" i="18"/>
  <c r="U9" i="18"/>
  <c r="U10" i="18"/>
  <c r="U13" i="18"/>
  <c r="U14" i="18"/>
  <c r="U15" i="18"/>
  <c r="U16" i="18"/>
  <c r="U6" i="18"/>
  <c r="U11" i="18"/>
  <c r="U5" i="18"/>
  <c r="U3" i="18"/>
  <c r="Y19" i="14"/>
  <c r="Y2" i="14"/>
  <c r="Y86" i="14"/>
  <c r="Y68" i="14"/>
  <c r="Y69" i="14"/>
  <c r="Y72" i="14"/>
  <c r="Y89" i="14"/>
  <c r="Y126" i="14"/>
  <c r="Y164" i="14"/>
  <c r="Y182" i="14"/>
  <c r="Y220" i="14"/>
  <c r="Y180" i="14"/>
  <c r="Y71" i="14"/>
  <c r="Y24" i="14"/>
  <c r="Y181" i="14"/>
  <c r="Y54" i="14"/>
  <c r="Y110" i="14"/>
  <c r="Y147" i="14"/>
  <c r="Y185" i="14"/>
  <c r="Y222" i="14"/>
  <c r="Y241" i="14"/>
  <c r="Y41" i="14"/>
  <c r="Y184" i="14"/>
  <c r="Y135" i="14"/>
  <c r="Y56" i="14"/>
  <c r="Y112" i="14"/>
  <c r="Y131" i="14"/>
  <c r="Y150" i="14"/>
  <c r="Y168" i="14"/>
  <c r="Y224" i="14"/>
  <c r="Y243" i="14"/>
  <c r="Y105" i="14"/>
  <c r="Y106" i="14"/>
  <c r="Y217" i="14"/>
  <c r="Y87" i="14"/>
  <c r="Y218" i="14"/>
  <c r="Y90" i="14"/>
  <c r="Y198" i="14"/>
  <c r="Y52" i="14"/>
  <c r="Y70" i="14"/>
  <c r="Y108" i="14"/>
  <c r="Y145" i="14"/>
  <c r="Y201" i="14"/>
  <c r="Y238" i="14"/>
  <c r="Y23" i="14"/>
  <c r="Y199" i="14"/>
  <c r="Y127" i="14"/>
  <c r="Y146" i="14"/>
  <c r="Y183" i="14"/>
  <c r="Y239" i="14"/>
  <c r="Y202" i="14"/>
  <c r="Y73" i="14"/>
  <c r="Y129" i="14"/>
  <c r="Y166" i="14"/>
  <c r="Y55" i="14"/>
  <c r="Y111" i="14"/>
  <c r="Y148" i="14"/>
  <c r="Y167" i="14"/>
  <c r="Y223" i="14"/>
  <c r="Y42" i="14"/>
  <c r="Y26" i="14"/>
  <c r="Y138" i="14"/>
  <c r="Y57" i="14"/>
  <c r="Y113" i="14"/>
  <c r="Y132" i="14"/>
  <c r="Y169" i="14"/>
  <c r="Y225" i="14"/>
  <c r="Y244" i="14"/>
  <c r="J9" i="3"/>
  <c r="L6" i="3"/>
  <c r="M6" i="3"/>
  <c r="I9" i="3"/>
  <c r="L9" i="3" s="1"/>
  <c r="L8" i="3"/>
  <c r="M5" i="3"/>
  <c r="M9" i="3" s="1"/>
  <c r="F3" i="18" l="1"/>
  <c r="AH3" i="18" s="1"/>
  <c r="F4" i="18" l="1"/>
  <c r="AH4" i="18" l="1"/>
  <c r="F5" i="18" s="1"/>
  <c r="AH5" i="18" l="1"/>
  <c r="F6" i="18" s="1"/>
  <c r="AH6" i="18" l="1"/>
  <c r="F7" i="18" s="1"/>
  <c r="AH7" i="18" s="1"/>
  <c r="F8" i="18" s="1"/>
  <c r="AH8" i="18" s="1"/>
  <c r="F9" i="18" s="1"/>
  <c r="AH9" i="18" s="1"/>
  <c r="F10" i="18" s="1"/>
  <c r="AH10" i="18" s="1"/>
  <c r="F11" i="18" s="1"/>
  <c r="AH11" i="18" s="1"/>
  <c r="F12" i="18" l="1"/>
  <c r="AH12" i="18" s="1"/>
  <c r="F13" i="18" l="1"/>
  <c r="AH13" i="18" s="1"/>
  <c r="F14" i="18" l="1"/>
  <c r="AH14" i="18" s="1"/>
  <c r="F15" i="18" l="1"/>
  <c r="AH15" i="18" s="1"/>
  <c r="F16" i="18" l="1"/>
  <c r="AH16" i="18" s="1"/>
  <c r="F17" i="18" l="1"/>
  <c r="AH17" i="18" s="1"/>
  <c r="AX4" i="18"/>
</calcChain>
</file>

<file path=xl/sharedStrings.xml><?xml version="1.0" encoding="utf-8"?>
<sst xmlns="http://schemas.openxmlformats.org/spreadsheetml/2006/main" count="1891" uniqueCount="119">
  <si>
    <t>Franky 💀</t>
  </si>
  <si>
    <t>Sam 💖</t>
  </si>
  <si>
    <t>Lechon 🐷</t>
  </si>
  <si>
    <t>Miguel pa 👨🏻‍🦳</t>
  </si>
  <si>
    <t>🏨</t>
  </si>
  <si>
    <t>Fecha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</si>
  <si>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</si>
  <si>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</si>
  <si>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</si>
  <si>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</si>
  <si>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</si>
  <si>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</si>
  <si>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</si>
  <si>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</si>
  <si>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</si>
  <si>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</si>
  <si>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</si>
  <si>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</si>
  <si>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</si>
  <si>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</si>
  <si>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</si>
  <si>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</si>
  <si>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NQ</t>
  </si>
  <si>
    <t>Normal</t>
  </si>
  <si>
    <t>Complementaria</t>
  </si>
  <si>
    <t>Tipo</t>
  </si>
  <si>
    <t>Ingresos</t>
  </si>
  <si>
    <t>Transporte</t>
  </si>
  <si>
    <t>SADM</t>
  </si>
  <si>
    <t>IZZI</t>
  </si>
  <si>
    <t>Movistar</t>
  </si>
  <si>
    <t>Netflix</t>
  </si>
  <si>
    <t>Naturgy</t>
  </si>
  <si>
    <t>CFE</t>
  </si>
  <si>
    <t>Gasto</t>
  </si>
  <si>
    <t>Aguinaldo</t>
  </si>
  <si>
    <t>10deMay</t>
  </si>
  <si>
    <t>Aniversario</t>
  </si>
  <si>
    <t>Cumple Lucian</t>
  </si>
  <si>
    <t>Navidad</t>
  </si>
  <si>
    <t>Baupad</t>
  </si>
  <si>
    <t>Otros gastos</t>
  </si>
  <si>
    <t>Evento</t>
  </si>
  <si>
    <t>Uber one</t>
  </si>
  <si>
    <t>Didi+</t>
  </si>
  <si>
    <t>Prime</t>
  </si>
  <si>
    <t>U2B Premium</t>
  </si>
  <si>
    <t>Comedor</t>
  </si>
  <si>
    <t>Sala</t>
  </si>
  <si>
    <t>Estatus</t>
  </si>
  <si>
    <t>Real</t>
  </si>
  <si>
    <t>Fin</t>
  </si>
  <si>
    <t>Vuelos</t>
  </si>
  <si>
    <t>Hotel</t>
  </si>
  <si>
    <t>Hollywood Planet 23 de septiembre al 28 de septiembre</t>
  </si>
  <si>
    <t>Q18.5</t>
  </si>
  <si>
    <t>DíaP</t>
  </si>
  <si>
    <t>Despensa</t>
  </si>
  <si>
    <t>Inicio</t>
  </si>
  <si>
    <t>Goal</t>
  </si>
  <si>
    <t>Proyectado</t>
  </si>
  <si>
    <t>🏖️</t>
  </si>
  <si>
    <t>🚕</t>
  </si>
  <si>
    <t>🏄🏻🍾</t>
  </si>
  <si>
    <t>🛫</t>
  </si>
  <si>
    <t>🧳</t>
  </si>
  <si>
    <t>💺</t>
  </si>
  <si>
    <t>😡</t>
  </si>
  <si>
    <t>Est</t>
  </si>
  <si>
    <t>Av</t>
  </si>
  <si>
    <t>Tt</t>
  </si>
  <si>
    <t>01 de jun</t>
  </si>
  <si>
    <t>16 de ago</t>
  </si>
  <si>
    <t>16 de sept</t>
  </si>
  <si>
    <t>23 de sept</t>
  </si>
  <si>
    <t>Yo</t>
  </si>
  <si>
    <t>TT</t>
  </si>
  <si>
    <t>Cred</t>
  </si>
  <si>
    <t>Clima</t>
  </si>
  <si>
    <t>Pagado</t>
  </si>
  <si>
    <t>S</t>
  </si>
  <si>
    <t>N</t>
  </si>
  <si>
    <t>Ev</t>
  </si>
  <si>
    <t>B</t>
  </si>
  <si>
    <t>G</t>
  </si>
  <si>
    <t>AN</t>
  </si>
  <si>
    <t>dsp2</t>
  </si>
  <si>
    <t>Final</t>
  </si>
  <si>
    <t>Semi</t>
  </si>
  <si>
    <t>Cbp</t>
  </si>
  <si>
    <t>nuevo</t>
  </si>
  <si>
    <t>actual</t>
  </si>
  <si>
    <t>TR</t>
  </si>
  <si>
    <t>AG</t>
  </si>
  <si>
    <t>IZ</t>
  </si>
  <si>
    <t>Mov</t>
  </si>
  <si>
    <t>Nx</t>
  </si>
  <si>
    <t>Ny</t>
  </si>
  <si>
    <t>LZ</t>
  </si>
  <si>
    <t>Dsp</t>
  </si>
  <si>
    <t>og</t>
  </si>
  <si>
    <t>U1</t>
  </si>
  <si>
    <t>D+</t>
  </si>
  <si>
    <t>Pr</t>
  </si>
  <si>
    <t>u2</t>
  </si>
  <si>
    <t>10m</t>
  </si>
  <si>
    <t>A1</t>
  </si>
  <si>
    <t>Lu</t>
  </si>
  <si>
    <t>Ht</t>
  </si>
  <si>
    <t>Vu</t>
  </si>
  <si>
    <t>Nv</t>
  </si>
  <si>
    <t>Bp</t>
  </si>
  <si>
    <t>Co</t>
  </si>
  <si>
    <t>Sla</t>
  </si>
  <si>
    <t>Cli</t>
  </si>
  <si>
    <t>PTU</t>
  </si>
  <si>
    <t>clm</t>
  </si>
  <si>
    <t>Cinsta</t>
  </si>
  <si>
    <t>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</si>
</sst>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\ #,##0.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15" fontId="0" fillId="0" borderId="0" xfId="0" applyNumberFormat="1" applyAlignment="1">
      <alignment horizontal="center" vertical="center" textRotation="90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  <xf numFmtId="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7">
    <dxf>
      <fill>
        <patternFill>
          <bgColor theme="2" tint="-0.24994659260841701"/>
        </patternFill>
      </fill>
    </dxf>
    <dxf>
      <fill>
        <patternFill>
          <bgColor theme="9" tint="0.79998168889431442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ill>
        <patternFill>
          <bgColor theme="2" tint="-0.24994659260841701"/>
        </patternFill>
      </fill>
    </dxf>
    <dxf>
      <fill>
        <patternFill>
          <bgColor theme="9" tint="0.79998168889431442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ill>
        <patternFill>
          <bgColor theme="2" tint="-0.24994659260841701"/>
        </patternFill>
      </fill>
    </dxf>
    <dxf>
      <fill>
        <patternFill>
          <bgColor theme="9" tint="0.79998168889431442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ill>
        <patternFill>
          <bgColor theme="2" tint="-0.24994659260841701"/>
        </patternFill>
      </fill>
    </dxf>
    <dxf>
      <fill>
        <patternFill>
          <bgColor theme="9" tint="0.79998168889431442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9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/m/yyyy"/>
    </dxf>
    <dxf>
      <alignment horizontal="center" vertical="center" textRotation="9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/m/yyyy"/>
    </dxf>
    <dxf>
      <alignment horizontal="center" vertical="center" textRotation="9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/m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94F54D-B505-4DF2-B729-F0BE89CC93F9}" name="Ingresos" displayName="Ingresos" ref="A1:K246" totalsRowShown="0" headerRowDxfId="36">
  <autoFilter ref="A1:K246" xr:uid="{B094F54D-B505-4DF2-B729-F0BE89CC93F9}">
    <filterColumn colId="4">
      <filters>
        <filter val="Q5"/>
      </filters>
    </filterColumn>
  </autoFilter>
  <tableColumns count="11">
    <tableColumn id="1" xr3:uid="{D570DB04-AC37-46ED-99F2-94E9CD6DED30}" name="Fecha" dataDxfId="35"/>
    <tableColumn id="2" xr3:uid="{407DCB0A-381C-4C98-B4EB-B06CA36856A0}" name="Inicio" dataDxfId="34"/>
    <tableColumn id="3" xr3:uid="{3C2BAD1F-1B4E-4B62-9225-13CCE0A4B3B6}" name="Fin" dataDxfId="33"/>
    <tableColumn id="4" xr3:uid="{1F24D08D-AC02-4612-AAA9-A75D4D7B9F5E}" name="DíaP" dataDxfId="32"/>
    <tableColumn id="5" xr3:uid="{1E7A8B20-CFE5-47BC-BBE1-55F5C20AA6B7}" name="NQ"/>
    <tableColumn id="6" xr3:uid="{B9A54E4E-C0BD-4540-8507-07610413C1C6}" name="Tipo"/>
    <tableColumn id="7" xr3:uid="{1A60ADEE-1949-4868-95E6-800061D9BB6E}" name="Estatus"/>
    <tableColumn id="8" xr3:uid="{F87282A0-115A-4F29-9128-53312540DB2C}" name="Normal"/>
    <tableColumn id="9" xr3:uid="{EE1FA29D-D9B2-43C8-856A-6D5A363FB7C5}" name="Complementaria"/>
    <tableColumn id="10" xr3:uid="{7FDEF380-47C3-4B35-BA09-4E931471432E}" name="Aguinaldo"/>
    <tableColumn id="11" xr3:uid="{E0C93112-CD90-424F-9ECD-D7666856A6C8}" name="C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E4EAD0-039D-4E06-8B75-2CC8473D4ACA}" name="Gasto_real" displayName="Gasto_real" ref="A1:T246" totalsRowShown="0" headerRowDxfId="31">
  <autoFilter ref="A1:T246" xr:uid="{96E4EAD0-039D-4E06-8B75-2CC8473D4ACA}"/>
  <tableColumns count="20">
    <tableColumn id="1" xr3:uid="{FDA86CCD-5288-402B-87EB-D233E9887E00}" name="Fecha" dataDxfId="30">
      <calculatedColumnFormula>A1+1</calculatedColumnFormula>
    </tableColumn>
    <tableColumn id="2" xr3:uid="{132EC96D-6FD4-45EB-AB3D-64084A3F4E0C}" name="Inicio" dataDxfId="29"/>
    <tableColumn id="3" xr3:uid="{81E5B1AF-958C-46F7-B21C-27C09A02F197}" name="Fin" dataDxfId="28"/>
    <tableColumn id="4" xr3:uid="{79385544-93CE-4FD4-8EAC-7D0C1B35FBBC}" name="DíaP" dataDxfId="27">
      <calculatedColumnFormula>IF(A2=B2,1,IF(A2=(B2+7),2,0))</calculatedColumnFormula>
    </tableColumn>
    <tableColumn id="5" xr3:uid="{E95491E5-60BB-4704-AD6F-941BFEA8A9E9}" name="NQ"/>
    <tableColumn id="6" xr3:uid="{21579AEC-5497-46C5-A1D6-5514FBA150CB}" name="Tipo" dataDxfId="26"/>
    <tableColumn id="7" xr3:uid="{181B36BA-6C98-442E-82F7-B2DB5871DD48}" name="Estatus" dataDxfId="25"/>
    <tableColumn id="8" xr3:uid="{BE2DA8C5-9414-445A-B5DA-B5D8F229CC21}" name="Transporte"/>
    <tableColumn id="9" xr3:uid="{650FEBBC-6044-4CBE-837F-0BF3B47F8487}" name="SADM"/>
    <tableColumn id="10" xr3:uid="{574B6BB7-F93B-4374-A607-D29EFA760E1F}" name="IZZI"/>
    <tableColumn id="11" xr3:uid="{93CFDE5B-EA72-470D-A3A2-A595EB346FA8}" name="Movistar"/>
    <tableColumn id="12" xr3:uid="{6507FB8D-E425-480F-A814-F6FAC2C130A2}" name="Netflix"/>
    <tableColumn id="13" xr3:uid="{A4F2561B-3C98-4258-A83C-6EBF194C5490}" name="Naturgy"/>
    <tableColumn id="14" xr3:uid="{8EA167CB-A4C7-43CF-8CA4-DC6022D8B1A1}" name="CFE"/>
    <tableColumn id="15" xr3:uid="{151F078B-00F2-4E65-9277-3A6AAA2485E2}" name="Despensa"/>
    <tableColumn id="16" xr3:uid="{3E98D5A7-0478-4FD1-A21E-57CE349D6700}" name="Otros gastos"/>
    <tableColumn id="17" xr3:uid="{3D41E751-336C-4E4F-BC87-71734A8F5CF0}" name="Uber one"/>
    <tableColumn id="18" xr3:uid="{9CD0B354-F466-49D4-A0A1-AF0F17F7B48A}" name="Didi+"/>
    <tableColumn id="19" xr3:uid="{A0C7162F-1220-4C21-A7C8-A3286D521D9F}" name="Prime"/>
    <tableColumn id="20" xr3:uid="{00941AD4-34E0-428F-BF55-42A5D4E0E91F}" name="U2B Premium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C43299-9994-4CA7-9AAF-F206E4A7BEE7}" name="Evento_Real" displayName="Evento_Real" ref="A1:Q246" totalsRowShown="0" headerRowDxfId="24">
  <autoFilter ref="A1:Q246" xr:uid="{E0C43299-9994-4CA7-9AAF-F206E4A7BEE7}">
    <filterColumn colId="3">
      <filters>
        <filter val="1"/>
      </filters>
    </filterColumn>
  </autoFilter>
  <tableColumns count="17">
    <tableColumn id="1" xr3:uid="{46893FC6-676D-4A6C-BE97-BF084E1BDDF1}" name="Fecha" dataDxfId="23"/>
    <tableColumn id="2" xr3:uid="{41155BA8-AF8F-455F-9D07-402C5ED14910}" name="Inicio" dataDxfId="22"/>
    <tableColumn id="3" xr3:uid="{180E512F-83E0-48F4-B7ED-F06EE16D5D92}" name="Fin" dataDxfId="21"/>
    <tableColumn id="4" xr3:uid="{0CB28401-9BD1-4E90-97B3-B0B6BA00ACE4}" name="DíaP" dataDxfId="20"/>
    <tableColumn id="5" xr3:uid="{E851AFCA-2E72-4E57-A7E7-C7C6AEBFC5F4}" name="NQ"/>
    <tableColumn id="6" xr3:uid="{13C57E1C-0DB8-4639-B1B5-74067092DB99}" name="Tipo" dataDxfId="19"/>
    <tableColumn id="7" xr3:uid="{E1704720-0BD2-42D2-A325-78FDEFCCA4A8}" name="Estatus" dataDxfId="18"/>
    <tableColumn id="8" xr3:uid="{BA639347-4704-4614-88CA-6120D3F88F24}" name="10deMay"/>
    <tableColumn id="9" xr3:uid="{4E7C4C10-421C-4F15-8EAE-9777572C02B3}" name="Aniversario"/>
    <tableColumn id="10" xr3:uid="{384F08C1-6BA4-4563-AE32-5A7DCFA5931B}" name="Cumple Lucian"/>
    <tableColumn id="11" xr3:uid="{A87E74A4-322B-4870-9B7F-83B257F7BE32}" name="Hotel"/>
    <tableColumn id="12" xr3:uid="{CC3F27D9-F5DB-4F60-A75E-58FD0B23A8EC}" name="Vuelos"/>
    <tableColumn id="13" xr3:uid="{652BB7BC-BCDB-468B-A329-5802BCF7CCC3}" name="Navidad"/>
    <tableColumn id="14" xr3:uid="{00C8A675-EDC0-40C8-A9AB-B3C5F55B3C0B}" name="Baupad"/>
    <tableColumn id="15" xr3:uid="{23C9C716-F2C0-4EE5-9A89-F39C7F416EEC}" name="Comedor"/>
    <tableColumn id="16" xr3:uid="{45FD0B80-C51D-42B8-A9E8-077E5241DE69}" name="Sala"/>
    <tableColumn id="17" xr3:uid="{427E5057-54CF-4543-95EF-0B131A50334F}" name="Cli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640A8-02AF-4623-9461-9DD595296797}" name="Goals" displayName="Goals" ref="A1:J3" totalsRowShown="0" headerRowDxfId="17">
  <autoFilter ref="A1:J3" xr:uid="{0AD640A8-02AF-4623-9461-9DD595296797}"/>
  <tableColumns count="10">
    <tableColumn id="1" xr3:uid="{51E9BC78-1837-4183-AAFB-60284224F7BF}" name="Goal"/>
    <tableColumn id="2" xr3:uid="{0056EA40-C5F7-43E2-A4B6-A4D09F824A9C}" name="10deMay" dataDxfId="16">
      <calculatedColumnFormula>SUM('Evento R'!H:H)</calculatedColumnFormula>
    </tableColumn>
    <tableColumn id="3" xr3:uid="{97E5E111-360A-405C-9073-270431C0B39E}" name="Aniversario" dataDxfId="15">
      <calculatedColumnFormula>SUM('Evento R'!I:I)</calculatedColumnFormula>
    </tableColumn>
    <tableColumn id="4" xr3:uid="{022051E8-C19C-4BD1-99C7-6A4381AEB197}" name="Cumple Lucian" dataDxfId="14">
      <calculatedColumnFormula>SUM('Evento R'!J:J)</calculatedColumnFormula>
    </tableColumn>
    <tableColumn id="5" xr3:uid="{2E233DC2-557B-4CE0-8D48-02E5CA8036C8}" name="Hotel" dataDxfId="13">
      <calculatedColumnFormula>SUM('Evento R'!K:K)</calculatedColumnFormula>
    </tableColumn>
    <tableColumn id="6" xr3:uid="{CECD2740-0367-4F23-B7F4-99B26CC5EF4F}" name="Vuelos" dataDxfId="12">
      <calculatedColumnFormula>SUM('Evento R'!L:L)</calculatedColumnFormula>
    </tableColumn>
    <tableColumn id="7" xr3:uid="{3053308C-7D74-45DE-9300-5C129FA73446}" name="Navidad" dataDxfId="11">
      <calculatedColumnFormula>SUM('Evento R'!M:M)</calculatedColumnFormula>
    </tableColumn>
    <tableColumn id="8" xr3:uid="{864BF9FD-BE68-468F-9A64-A780AF366D28}" name="Baupad" dataDxfId="10">
      <calculatedColumnFormula>SUM('Evento R'!N:N)</calculatedColumnFormula>
    </tableColumn>
    <tableColumn id="9" xr3:uid="{D01B492C-60D0-4935-BF91-90EFD2ADFBB5}" name="Comedor" dataDxfId="9">
      <calculatedColumnFormula>SUM('Evento R'!O:O)</calculatedColumnFormula>
    </tableColumn>
    <tableColumn id="10" xr3:uid="{12BAEE43-01D5-4EE8-9BDA-89FF29000DE6}" name="Sala" dataDxfId="8">
      <calculatedColumnFormula>SUM('Evento R'!P:P)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33AE-918F-4C38-835D-5813F16CB7A7}">
  <sheetPr codeName="Hoja1"/>
  <dimension ref="A1:M15"/>
  <sheetViews>
    <sheetView workbookViewId="0">
      <selection activeCell="H14" sqref="H14"/>
    </sheetView>
  </sheetViews>
  <sheetFormatPr baseColWidth="10" defaultRowHeight="14.4" x14ac:dyDescent="0.3"/>
  <cols>
    <col min="2" max="8" width="11.88671875" customWidth="1"/>
  </cols>
  <sheetData>
    <row r="1" spans="1:13" x14ac:dyDescent="0.3">
      <c r="A1" s="2"/>
      <c r="B1" s="2"/>
      <c r="C1" s="2"/>
      <c r="D1" s="2"/>
      <c r="E1" s="2"/>
    </row>
    <row r="2" spans="1:13" x14ac:dyDescent="0.3">
      <c r="A2" s="2"/>
      <c r="B2" s="2"/>
      <c r="C2" s="2"/>
      <c r="D2" s="1"/>
      <c r="E2" s="2"/>
      <c r="G2" s="2"/>
      <c r="H2" s="2"/>
      <c r="I2" s="2"/>
    </row>
    <row r="3" spans="1:13" x14ac:dyDescent="0.3">
      <c r="B3" s="15" t="s">
        <v>54</v>
      </c>
      <c r="C3" s="15"/>
      <c r="D3" s="15"/>
      <c r="E3" s="15"/>
      <c r="G3" s="7"/>
      <c r="H3" s="7"/>
      <c r="I3" s="7"/>
      <c r="J3" s="7"/>
    </row>
    <row r="4" spans="1:13" x14ac:dyDescent="0.3">
      <c r="B4" s="2"/>
      <c r="C4" s="2" t="s">
        <v>4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70</v>
      </c>
    </row>
    <row r="5" spans="1:13" x14ac:dyDescent="0.3">
      <c r="B5" s="2" t="s">
        <v>3</v>
      </c>
      <c r="C5" s="10">
        <v>12536.67</v>
      </c>
      <c r="D5" s="10">
        <v>152</v>
      </c>
      <c r="E5" s="10">
        <v>500</v>
      </c>
      <c r="F5" s="10">
        <v>200</v>
      </c>
      <c r="G5" s="10">
        <v>1400</v>
      </c>
      <c r="H5" s="10">
        <v>553</v>
      </c>
      <c r="I5" s="10">
        <f>330+290</f>
        <v>620</v>
      </c>
      <c r="J5" s="10">
        <f>4125/4</f>
        <v>1031.25</v>
      </c>
      <c r="K5" s="10">
        <f>SUM(C5:F5)</f>
        <v>13388.67</v>
      </c>
      <c r="L5" s="10">
        <f>SUM(G5:J5)</f>
        <v>3604.25</v>
      </c>
      <c r="M5" s="10">
        <f>SUM(C5:J5)</f>
        <v>16992.919999999998</v>
      </c>
    </row>
    <row r="6" spans="1:13" x14ac:dyDescent="0.3">
      <c r="B6" s="2" t="s">
        <v>2</v>
      </c>
      <c r="C6" s="2">
        <v>0</v>
      </c>
      <c r="D6" s="2"/>
      <c r="E6" s="10">
        <v>500</v>
      </c>
      <c r="F6" s="10">
        <v>200</v>
      </c>
      <c r="G6" s="10">
        <v>1400</v>
      </c>
      <c r="H6" s="10">
        <v>553</v>
      </c>
      <c r="I6" s="10">
        <f t="shared" ref="I6:I8" si="0">330+290</f>
        <v>620</v>
      </c>
      <c r="J6" s="10">
        <f t="shared" ref="J6:J8" si="1">4125/4</f>
        <v>1031.25</v>
      </c>
      <c r="K6" s="10">
        <f t="shared" ref="K6:K9" si="2">SUM(C6:F6)</f>
        <v>700</v>
      </c>
      <c r="L6" s="10">
        <f t="shared" ref="L6:L9" si="3">SUM(G6:J6)</f>
        <v>3604.25</v>
      </c>
      <c r="M6" s="10">
        <f t="shared" ref="M6:M8" si="4">SUM(C6:J6)</f>
        <v>4304.25</v>
      </c>
    </row>
    <row r="7" spans="1:13" x14ac:dyDescent="0.3">
      <c r="B7" s="2" t="s">
        <v>1</v>
      </c>
      <c r="C7" s="10">
        <v>12536.67</v>
      </c>
      <c r="D7" s="10">
        <v>152</v>
      </c>
      <c r="E7" s="10">
        <v>500</v>
      </c>
      <c r="F7" s="10">
        <v>1000</v>
      </c>
      <c r="G7" s="10">
        <v>1400</v>
      </c>
      <c r="H7" s="10">
        <v>553</v>
      </c>
      <c r="I7" s="10">
        <f t="shared" si="0"/>
        <v>620</v>
      </c>
      <c r="J7" s="10">
        <f t="shared" si="1"/>
        <v>1031.25</v>
      </c>
      <c r="K7" s="10">
        <f t="shared" si="2"/>
        <v>14188.67</v>
      </c>
      <c r="L7" s="10">
        <f t="shared" si="3"/>
        <v>3604.25</v>
      </c>
      <c r="M7" s="10">
        <f t="shared" si="4"/>
        <v>17792.919999999998</v>
      </c>
    </row>
    <row r="8" spans="1:13" x14ac:dyDescent="0.3">
      <c r="B8" s="2" t="s">
        <v>0</v>
      </c>
      <c r="C8" s="10">
        <v>12536.67</v>
      </c>
      <c r="D8" s="10">
        <v>152</v>
      </c>
      <c r="E8" s="10">
        <v>500</v>
      </c>
      <c r="F8" s="10">
        <v>1000</v>
      </c>
      <c r="G8" s="10">
        <v>1400</v>
      </c>
      <c r="H8" s="10">
        <v>553</v>
      </c>
      <c r="I8" s="10">
        <f t="shared" si="0"/>
        <v>620</v>
      </c>
      <c r="J8" s="10">
        <f t="shared" si="1"/>
        <v>1031.25</v>
      </c>
      <c r="K8" s="10">
        <f t="shared" si="2"/>
        <v>14188.67</v>
      </c>
      <c r="L8" s="10">
        <f t="shared" si="3"/>
        <v>3604.25</v>
      </c>
      <c r="M8" s="10">
        <f t="shared" si="4"/>
        <v>17792.919999999998</v>
      </c>
    </row>
    <row r="9" spans="1:13" x14ac:dyDescent="0.3">
      <c r="C9" s="10">
        <f>SUM(C5:C8)</f>
        <v>37610.01</v>
      </c>
      <c r="D9" s="10">
        <f>SUM(D5:D8)</f>
        <v>456</v>
      </c>
      <c r="E9" s="10">
        <f>SUM(E5:E8)</f>
        <v>2000</v>
      </c>
      <c r="F9" s="10">
        <f>SUM(F5:F8)</f>
        <v>2400</v>
      </c>
      <c r="G9" s="10">
        <f>SUM(G5:G8)</f>
        <v>5600</v>
      </c>
      <c r="H9" s="10">
        <f t="shared" ref="H9:J9" si="5">SUM(H5:H8)</f>
        <v>2212</v>
      </c>
      <c r="I9" s="10">
        <f t="shared" si="5"/>
        <v>2480</v>
      </c>
      <c r="J9" s="10">
        <f t="shared" si="5"/>
        <v>4125</v>
      </c>
      <c r="K9" s="10">
        <f t="shared" si="2"/>
        <v>42466.01</v>
      </c>
      <c r="L9" s="10">
        <f t="shared" si="3"/>
        <v>14417</v>
      </c>
      <c r="M9" s="10">
        <f>SUM(M5:M8)</f>
        <v>56883.009999999995</v>
      </c>
    </row>
    <row r="11" spans="1:13" x14ac:dyDescent="0.3">
      <c r="D11" s="11" t="s">
        <v>75</v>
      </c>
      <c r="E11" s="2" t="s">
        <v>76</v>
      </c>
    </row>
    <row r="12" spans="1:13" x14ac:dyDescent="0.3">
      <c r="C12" t="s">
        <v>71</v>
      </c>
      <c r="D12" s="10">
        <f>SUM(G9:I9)</f>
        <v>10292</v>
      </c>
      <c r="E12" s="10">
        <f>SUM(G9:I9)</f>
        <v>10292</v>
      </c>
    </row>
    <row r="13" spans="1:13" x14ac:dyDescent="0.3">
      <c r="C13" t="s">
        <v>72</v>
      </c>
      <c r="D13" s="10">
        <f>J9</f>
        <v>4125</v>
      </c>
      <c r="E13" s="10">
        <f>J9</f>
        <v>4125</v>
      </c>
    </row>
    <row r="14" spans="1:13" x14ac:dyDescent="0.3">
      <c r="C14" t="s">
        <v>73</v>
      </c>
      <c r="D14" s="10">
        <f>SUM(C6:C8)</f>
        <v>25073.34</v>
      </c>
      <c r="E14" s="10">
        <f>SUM(C5:C8)</f>
        <v>37610.01</v>
      </c>
    </row>
    <row r="15" spans="1:13" x14ac:dyDescent="0.3">
      <c r="C15" t="s">
        <v>74</v>
      </c>
      <c r="D15" s="10">
        <f>SUM(D6:F8)</f>
        <v>4004</v>
      </c>
      <c r="E15" s="10">
        <f>SUM(D5:F8)</f>
        <v>4856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0A81-1702-4CDB-9AA5-A7A6D4171503}">
  <sheetPr codeName="Hoja2"/>
  <dimension ref="A1:K357"/>
  <sheetViews>
    <sheetView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K18" sqref="K18"/>
    </sheetView>
  </sheetViews>
  <sheetFormatPr baseColWidth="10" defaultRowHeight="14.4" x14ac:dyDescent="0.3"/>
  <cols>
    <col min="4" max="4" width="6.77734375" customWidth="1"/>
    <col min="5" max="5" width="5.88671875" bestFit="1" customWidth="1"/>
    <col min="6" max="11" width="8" bestFit="1" customWidth="1"/>
  </cols>
  <sheetData>
    <row r="1" spans="1:11" ht="78" x14ac:dyDescent="0.3">
      <c r="A1" s="2" t="s">
        <v>5</v>
      </c>
      <c r="B1" s="2" t="s">
        <v>58</v>
      </c>
      <c r="C1" s="2" t="s">
        <v>51</v>
      </c>
      <c r="D1" s="2" t="s">
        <v>56</v>
      </c>
      <c r="E1" s="2" t="s">
        <v>22</v>
      </c>
      <c r="F1" s="3" t="s">
        <v>25</v>
      </c>
      <c r="G1" s="3" t="s">
        <v>49</v>
      </c>
      <c r="H1" s="3" t="s">
        <v>23</v>
      </c>
      <c r="I1" s="3" t="s">
        <v>24</v>
      </c>
      <c r="J1" s="3" t="s">
        <v>35</v>
      </c>
      <c r="K1" s="3" t="s">
        <v>77</v>
      </c>
    </row>
    <row r="2" spans="1:11" hidden="1" x14ac:dyDescent="0.3">
      <c r="A2" s="8">
        <v>46143</v>
      </c>
      <c r="B2" s="5">
        <v>46143</v>
      </c>
      <c r="C2" s="5">
        <v>46157</v>
      </c>
      <c r="D2" s="6">
        <v>1</v>
      </c>
      <c r="E2" t="s">
        <v>6</v>
      </c>
      <c r="F2" s="6" t="s">
        <v>26</v>
      </c>
      <c r="G2" s="6" t="s">
        <v>79</v>
      </c>
      <c r="H2" s="6">
        <v>10557</v>
      </c>
      <c r="I2" s="6">
        <v>4443</v>
      </c>
      <c r="K2">
        <v>3400</v>
      </c>
    </row>
    <row r="3" spans="1:11" hidden="1" x14ac:dyDescent="0.3">
      <c r="A3" s="8">
        <v>46144</v>
      </c>
      <c r="B3" s="5">
        <v>46143</v>
      </c>
      <c r="C3" s="5">
        <v>46157</v>
      </c>
      <c r="D3" s="6">
        <v>0</v>
      </c>
      <c r="E3" t="s">
        <v>6</v>
      </c>
    </row>
    <row r="4" spans="1:11" hidden="1" x14ac:dyDescent="0.3">
      <c r="A4" s="8">
        <v>46145</v>
      </c>
      <c r="B4" s="5">
        <v>46143</v>
      </c>
      <c r="C4" s="5">
        <v>46157</v>
      </c>
      <c r="D4" s="6">
        <v>0</v>
      </c>
      <c r="E4" t="s">
        <v>6</v>
      </c>
    </row>
    <row r="5" spans="1:11" hidden="1" x14ac:dyDescent="0.3">
      <c r="A5" s="8">
        <v>46146</v>
      </c>
      <c r="B5" s="5">
        <v>46143</v>
      </c>
      <c r="C5" s="5">
        <v>46157</v>
      </c>
      <c r="D5" s="6">
        <v>0</v>
      </c>
      <c r="E5" t="s">
        <v>6</v>
      </c>
    </row>
    <row r="6" spans="1:11" hidden="1" x14ac:dyDescent="0.3">
      <c r="A6" s="8">
        <v>46147</v>
      </c>
      <c r="B6" s="5">
        <v>46143</v>
      </c>
      <c r="C6" s="5">
        <v>46157</v>
      </c>
      <c r="D6" s="6">
        <v>0</v>
      </c>
      <c r="E6" t="s">
        <v>6</v>
      </c>
      <c r="F6" s="6"/>
      <c r="G6" s="6"/>
    </row>
    <row r="7" spans="1:11" hidden="1" x14ac:dyDescent="0.3">
      <c r="A7" s="8">
        <v>46148</v>
      </c>
      <c r="B7" s="5">
        <v>46143</v>
      </c>
      <c r="C7" s="5">
        <v>46157</v>
      </c>
      <c r="D7" s="6">
        <v>0</v>
      </c>
      <c r="E7" t="s">
        <v>6</v>
      </c>
    </row>
    <row r="8" spans="1:11" hidden="1" x14ac:dyDescent="0.3">
      <c r="A8" s="8">
        <v>46149</v>
      </c>
      <c r="B8" s="5">
        <v>46143</v>
      </c>
      <c r="C8" s="5">
        <v>46157</v>
      </c>
      <c r="D8" s="6">
        <v>0</v>
      </c>
      <c r="E8" t="s">
        <v>6</v>
      </c>
    </row>
    <row r="9" spans="1:11" hidden="1" x14ac:dyDescent="0.3">
      <c r="A9" s="8">
        <v>46150</v>
      </c>
      <c r="B9" s="5">
        <v>46143</v>
      </c>
      <c r="C9" s="5">
        <v>46157</v>
      </c>
      <c r="D9" s="6">
        <v>0</v>
      </c>
      <c r="E9" t="s">
        <v>6</v>
      </c>
    </row>
    <row r="10" spans="1:11" hidden="1" x14ac:dyDescent="0.3">
      <c r="A10" s="8">
        <v>46151</v>
      </c>
      <c r="B10" s="5">
        <v>46143</v>
      </c>
      <c r="C10" s="5">
        <v>46157</v>
      </c>
      <c r="D10" s="6">
        <v>0</v>
      </c>
      <c r="E10" t="s">
        <v>6</v>
      </c>
    </row>
    <row r="11" spans="1:11" hidden="1" x14ac:dyDescent="0.3">
      <c r="A11" s="8">
        <v>46152</v>
      </c>
      <c r="B11" s="5">
        <v>46143</v>
      </c>
      <c r="C11" s="5">
        <v>46157</v>
      </c>
      <c r="D11" s="6">
        <v>0</v>
      </c>
      <c r="E11" t="s">
        <v>6</v>
      </c>
    </row>
    <row r="12" spans="1:11" hidden="1" x14ac:dyDescent="0.3">
      <c r="A12" s="8">
        <v>46153</v>
      </c>
      <c r="B12" s="5">
        <v>46143</v>
      </c>
      <c r="C12" s="5">
        <v>46157</v>
      </c>
      <c r="D12" s="6">
        <v>0</v>
      </c>
      <c r="E12" t="s">
        <v>6</v>
      </c>
    </row>
    <row r="13" spans="1:11" hidden="1" x14ac:dyDescent="0.3">
      <c r="A13" s="8">
        <v>46154</v>
      </c>
      <c r="B13" s="5">
        <v>46143</v>
      </c>
      <c r="C13" s="5">
        <v>46157</v>
      </c>
      <c r="D13" s="6">
        <v>0</v>
      </c>
      <c r="E13" t="s">
        <v>6</v>
      </c>
    </row>
    <row r="14" spans="1:11" hidden="1" x14ac:dyDescent="0.3">
      <c r="A14" s="8">
        <v>46155</v>
      </c>
      <c r="B14" s="5">
        <v>46143</v>
      </c>
      <c r="C14" s="5">
        <v>46157</v>
      </c>
      <c r="D14" s="6">
        <v>0</v>
      </c>
      <c r="E14" t="s">
        <v>6</v>
      </c>
    </row>
    <row r="15" spans="1:11" hidden="1" x14ac:dyDescent="0.3">
      <c r="A15" s="8">
        <v>46156</v>
      </c>
      <c r="B15" s="5">
        <v>46143</v>
      </c>
      <c r="C15" s="5">
        <v>46157</v>
      </c>
      <c r="D15" s="6">
        <v>0</v>
      </c>
      <c r="E15" t="s">
        <v>6</v>
      </c>
    </row>
    <row r="16" spans="1:11" hidden="1" x14ac:dyDescent="0.3">
      <c r="A16" s="8">
        <v>46157</v>
      </c>
      <c r="B16" s="5">
        <v>46143</v>
      </c>
      <c r="C16" s="5">
        <v>46157</v>
      </c>
      <c r="D16" s="6">
        <v>0</v>
      </c>
      <c r="E16" t="s">
        <v>6</v>
      </c>
    </row>
    <row r="17" spans="1:11" x14ac:dyDescent="0.3">
      <c r="A17" s="8">
        <v>46158</v>
      </c>
      <c r="B17" s="5">
        <v>46158</v>
      </c>
      <c r="C17" s="5">
        <v>46173</v>
      </c>
      <c r="D17" s="6">
        <v>1</v>
      </c>
      <c r="E17" t="s">
        <v>7</v>
      </c>
      <c r="F17" s="6" t="s">
        <v>26</v>
      </c>
      <c r="G17" s="6" t="s">
        <v>79</v>
      </c>
      <c r="H17" s="6">
        <v>10557</v>
      </c>
      <c r="I17" s="6">
        <v>4443</v>
      </c>
      <c r="K17">
        <v>6000</v>
      </c>
    </row>
    <row r="18" spans="1:11" x14ac:dyDescent="0.3">
      <c r="A18" s="8">
        <v>46159</v>
      </c>
      <c r="B18" s="5">
        <v>46158</v>
      </c>
      <c r="C18" s="5">
        <v>46173</v>
      </c>
      <c r="D18" s="6">
        <v>0</v>
      </c>
      <c r="E18" t="s">
        <v>7</v>
      </c>
    </row>
    <row r="19" spans="1:11" x14ac:dyDescent="0.3">
      <c r="A19" s="8">
        <v>46160</v>
      </c>
      <c r="B19" s="5">
        <v>46158</v>
      </c>
      <c r="C19" s="5">
        <v>46173</v>
      </c>
      <c r="D19" s="6">
        <v>0</v>
      </c>
      <c r="E19" t="s">
        <v>7</v>
      </c>
    </row>
    <row r="20" spans="1:11" x14ac:dyDescent="0.3">
      <c r="A20" s="8">
        <v>46161</v>
      </c>
      <c r="B20" s="5">
        <v>46158</v>
      </c>
      <c r="C20" s="5">
        <v>46173</v>
      </c>
      <c r="D20" s="6">
        <v>0</v>
      </c>
      <c r="E20" t="s">
        <v>7</v>
      </c>
    </row>
    <row r="21" spans="1:11" x14ac:dyDescent="0.3">
      <c r="A21" s="8">
        <v>46162</v>
      </c>
      <c r="B21" s="5">
        <v>46158</v>
      </c>
      <c r="C21" s="5">
        <v>46173</v>
      </c>
      <c r="D21" s="6">
        <v>0</v>
      </c>
      <c r="E21" t="s">
        <v>7</v>
      </c>
    </row>
    <row r="22" spans="1:11" x14ac:dyDescent="0.3">
      <c r="A22" s="8">
        <v>46163</v>
      </c>
      <c r="B22" s="5">
        <v>46158</v>
      </c>
      <c r="C22" s="5">
        <v>46173</v>
      </c>
      <c r="D22" s="6">
        <v>0</v>
      </c>
      <c r="E22" t="s">
        <v>7</v>
      </c>
    </row>
    <row r="23" spans="1:11" x14ac:dyDescent="0.3">
      <c r="A23" s="8">
        <v>46164</v>
      </c>
      <c r="B23" s="5">
        <v>46158</v>
      </c>
      <c r="C23" s="5">
        <v>46173</v>
      </c>
      <c r="D23" s="6">
        <v>0</v>
      </c>
      <c r="E23" t="s">
        <v>7</v>
      </c>
    </row>
    <row r="24" spans="1:11" x14ac:dyDescent="0.3">
      <c r="A24" s="8">
        <v>46165</v>
      </c>
      <c r="B24" s="5">
        <v>46158</v>
      </c>
      <c r="C24" s="5">
        <v>46173</v>
      </c>
      <c r="D24" s="6">
        <v>0</v>
      </c>
      <c r="E24" t="s">
        <v>7</v>
      </c>
    </row>
    <row r="25" spans="1:11" x14ac:dyDescent="0.3">
      <c r="A25" s="8">
        <v>46166</v>
      </c>
      <c r="B25" s="5">
        <v>46158</v>
      </c>
      <c r="C25" s="5">
        <v>46173</v>
      </c>
      <c r="D25" s="6">
        <v>0</v>
      </c>
      <c r="E25" t="s">
        <v>7</v>
      </c>
    </row>
    <row r="26" spans="1:11" x14ac:dyDescent="0.3">
      <c r="A26" s="8">
        <v>46167</v>
      </c>
      <c r="B26" s="5">
        <v>46158</v>
      </c>
      <c r="C26" s="5">
        <v>46173</v>
      </c>
      <c r="D26" s="6">
        <v>0</v>
      </c>
      <c r="E26" t="s">
        <v>7</v>
      </c>
    </row>
    <row r="27" spans="1:11" x14ac:dyDescent="0.3">
      <c r="A27" s="8">
        <v>46168</v>
      </c>
      <c r="B27" s="5">
        <v>46158</v>
      </c>
      <c r="C27" s="5">
        <v>46173</v>
      </c>
      <c r="D27" s="6">
        <v>0</v>
      </c>
      <c r="E27" t="s">
        <v>7</v>
      </c>
    </row>
    <row r="28" spans="1:11" x14ac:dyDescent="0.3">
      <c r="A28" s="8">
        <v>46169</v>
      </c>
      <c r="B28" s="5">
        <v>46158</v>
      </c>
      <c r="C28" s="5">
        <v>46173</v>
      </c>
      <c r="D28" s="6">
        <v>0</v>
      </c>
      <c r="E28" t="s">
        <v>7</v>
      </c>
    </row>
    <row r="29" spans="1:11" x14ac:dyDescent="0.3">
      <c r="A29" s="8">
        <v>46170</v>
      </c>
      <c r="B29" s="5">
        <v>46158</v>
      </c>
      <c r="C29" s="5">
        <v>46173</v>
      </c>
      <c r="D29" s="6">
        <v>0</v>
      </c>
      <c r="E29" t="s">
        <v>7</v>
      </c>
    </row>
    <row r="30" spans="1:11" x14ac:dyDescent="0.3">
      <c r="A30" s="8">
        <v>46171</v>
      </c>
      <c r="B30" s="5">
        <v>46158</v>
      </c>
      <c r="C30" s="5">
        <v>46173</v>
      </c>
      <c r="D30" s="6">
        <v>0</v>
      </c>
      <c r="E30" t="s">
        <v>7</v>
      </c>
    </row>
    <row r="31" spans="1:11" x14ac:dyDescent="0.3">
      <c r="A31" s="8">
        <v>46172</v>
      </c>
      <c r="B31" s="5">
        <v>46158</v>
      </c>
      <c r="C31" s="5">
        <v>46173</v>
      </c>
      <c r="D31" s="6">
        <v>0</v>
      </c>
      <c r="E31" t="s">
        <v>7</v>
      </c>
    </row>
    <row r="32" spans="1:11" x14ac:dyDescent="0.3">
      <c r="A32" s="8">
        <v>46173</v>
      </c>
      <c r="B32" s="5">
        <v>46158</v>
      </c>
      <c r="C32" s="5">
        <v>46173</v>
      </c>
      <c r="D32" s="6">
        <v>0</v>
      </c>
      <c r="E32" t="s">
        <v>7</v>
      </c>
    </row>
    <row r="33" spans="1:9" hidden="1" x14ac:dyDescent="0.3">
      <c r="A33" s="8">
        <v>46174</v>
      </c>
      <c r="B33" s="5">
        <v>46174</v>
      </c>
      <c r="C33" s="5">
        <v>46188</v>
      </c>
      <c r="D33" s="6">
        <v>1</v>
      </c>
      <c r="E33" t="s">
        <v>8</v>
      </c>
      <c r="F33" s="6" t="s">
        <v>26</v>
      </c>
      <c r="G33" s="6" t="s">
        <v>79</v>
      </c>
      <c r="H33" s="6">
        <v>10557</v>
      </c>
      <c r="I33" s="6">
        <v>4443</v>
      </c>
    </row>
    <row r="34" spans="1:9" hidden="1" x14ac:dyDescent="0.3">
      <c r="A34" s="8">
        <v>46175</v>
      </c>
      <c r="B34" s="5">
        <v>46174</v>
      </c>
      <c r="C34" s="5">
        <v>46188</v>
      </c>
      <c r="D34" s="6">
        <v>0</v>
      </c>
      <c r="E34" t="s">
        <v>8</v>
      </c>
    </row>
    <row r="35" spans="1:9" hidden="1" x14ac:dyDescent="0.3">
      <c r="A35" s="8">
        <v>46176</v>
      </c>
      <c r="B35" s="5">
        <v>46174</v>
      </c>
      <c r="C35" s="5">
        <v>46188</v>
      </c>
      <c r="D35" s="6">
        <v>0</v>
      </c>
      <c r="E35" t="s">
        <v>8</v>
      </c>
    </row>
    <row r="36" spans="1:9" hidden="1" x14ac:dyDescent="0.3">
      <c r="A36" s="8">
        <v>46177</v>
      </c>
      <c r="B36" s="5">
        <v>46174</v>
      </c>
      <c r="C36" s="5">
        <v>46188</v>
      </c>
      <c r="D36" s="6">
        <v>0</v>
      </c>
      <c r="E36" t="s">
        <v>8</v>
      </c>
    </row>
    <row r="37" spans="1:9" hidden="1" x14ac:dyDescent="0.3">
      <c r="A37" s="8">
        <v>46178</v>
      </c>
      <c r="B37" s="5">
        <v>46174</v>
      </c>
      <c r="C37" s="5">
        <v>46188</v>
      </c>
      <c r="D37" s="6">
        <v>0</v>
      </c>
      <c r="E37" t="s">
        <v>8</v>
      </c>
    </row>
    <row r="38" spans="1:9" hidden="1" x14ac:dyDescent="0.3">
      <c r="A38" s="8">
        <v>46179</v>
      </c>
      <c r="B38" s="5">
        <v>46174</v>
      </c>
      <c r="C38" s="5">
        <v>46188</v>
      </c>
      <c r="D38" s="6">
        <v>0</v>
      </c>
      <c r="E38" t="s">
        <v>8</v>
      </c>
    </row>
    <row r="39" spans="1:9" hidden="1" x14ac:dyDescent="0.3">
      <c r="A39" s="8">
        <v>46180</v>
      </c>
      <c r="B39" s="5">
        <v>46174</v>
      </c>
      <c r="C39" s="5">
        <v>46188</v>
      </c>
      <c r="D39" s="6">
        <v>0</v>
      </c>
      <c r="E39" t="s">
        <v>8</v>
      </c>
    </row>
    <row r="40" spans="1:9" hidden="1" x14ac:dyDescent="0.3">
      <c r="A40" s="8">
        <v>46181</v>
      </c>
      <c r="B40" s="5">
        <v>46174</v>
      </c>
      <c r="C40" s="5">
        <v>46188</v>
      </c>
      <c r="D40" s="6">
        <v>0</v>
      </c>
      <c r="E40" t="s">
        <v>8</v>
      </c>
    </row>
    <row r="41" spans="1:9" hidden="1" x14ac:dyDescent="0.3">
      <c r="A41" s="8">
        <v>46182</v>
      </c>
      <c r="B41" s="5">
        <v>46174</v>
      </c>
      <c r="C41" s="5">
        <v>46188</v>
      </c>
      <c r="D41" s="6">
        <v>0</v>
      </c>
      <c r="E41" t="s">
        <v>8</v>
      </c>
    </row>
    <row r="42" spans="1:9" hidden="1" x14ac:dyDescent="0.3">
      <c r="A42" s="8">
        <v>46183</v>
      </c>
      <c r="B42" s="5">
        <v>46174</v>
      </c>
      <c r="C42" s="5">
        <v>46188</v>
      </c>
      <c r="D42" s="6">
        <v>0</v>
      </c>
      <c r="E42" t="s">
        <v>8</v>
      </c>
    </row>
    <row r="43" spans="1:9" hidden="1" x14ac:dyDescent="0.3">
      <c r="A43" s="8">
        <v>46184</v>
      </c>
      <c r="B43" s="5">
        <v>46174</v>
      </c>
      <c r="C43" s="5">
        <v>46188</v>
      </c>
      <c r="D43" s="6">
        <v>0</v>
      </c>
      <c r="E43" t="s">
        <v>8</v>
      </c>
    </row>
    <row r="44" spans="1:9" hidden="1" x14ac:dyDescent="0.3">
      <c r="A44" s="8">
        <v>46185</v>
      </c>
      <c r="B44" s="5">
        <v>46174</v>
      </c>
      <c r="C44" s="5">
        <v>46188</v>
      </c>
      <c r="D44" s="6">
        <v>0</v>
      </c>
      <c r="E44" t="s">
        <v>8</v>
      </c>
    </row>
    <row r="45" spans="1:9" hidden="1" x14ac:dyDescent="0.3">
      <c r="A45" s="8">
        <v>46186</v>
      </c>
      <c r="B45" s="5">
        <v>46174</v>
      </c>
      <c r="C45" s="5">
        <v>46188</v>
      </c>
      <c r="D45" s="6">
        <v>0</v>
      </c>
      <c r="E45" t="s">
        <v>8</v>
      </c>
    </row>
    <row r="46" spans="1:9" hidden="1" x14ac:dyDescent="0.3">
      <c r="A46" s="8">
        <v>46187</v>
      </c>
      <c r="B46" s="5">
        <v>46174</v>
      </c>
      <c r="C46" s="5">
        <v>46188</v>
      </c>
      <c r="D46" s="6">
        <v>0</v>
      </c>
      <c r="E46" t="s">
        <v>8</v>
      </c>
    </row>
    <row r="47" spans="1:9" hidden="1" x14ac:dyDescent="0.3">
      <c r="A47" s="8">
        <v>46188</v>
      </c>
      <c r="B47" s="5">
        <v>46174</v>
      </c>
      <c r="C47" s="5">
        <v>46188</v>
      </c>
      <c r="D47" s="6">
        <v>0</v>
      </c>
      <c r="E47" t="s">
        <v>8</v>
      </c>
    </row>
    <row r="48" spans="1:9" hidden="1" x14ac:dyDescent="0.3">
      <c r="A48" s="8">
        <v>46189</v>
      </c>
      <c r="B48" s="5">
        <v>46189</v>
      </c>
      <c r="C48" s="5">
        <v>46203</v>
      </c>
      <c r="D48" s="6">
        <v>1</v>
      </c>
      <c r="E48" t="s">
        <v>9</v>
      </c>
      <c r="F48" s="6" t="s">
        <v>26</v>
      </c>
      <c r="G48" s="6" t="s">
        <v>79</v>
      </c>
      <c r="H48" s="6">
        <v>10557</v>
      </c>
      <c r="I48" s="6">
        <v>4443</v>
      </c>
    </row>
    <row r="49" spans="1:9" hidden="1" x14ac:dyDescent="0.3">
      <c r="A49" s="8">
        <v>46190</v>
      </c>
      <c r="B49" s="5">
        <v>46189</v>
      </c>
      <c r="C49" s="5">
        <v>46203</v>
      </c>
      <c r="D49" s="6">
        <v>0</v>
      </c>
      <c r="E49" t="s">
        <v>9</v>
      </c>
    </row>
    <row r="50" spans="1:9" hidden="1" x14ac:dyDescent="0.3">
      <c r="A50" s="8">
        <v>46191</v>
      </c>
      <c r="B50" s="5">
        <v>46189</v>
      </c>
      <c r="C50" s="5">
        <v>46203</v>
      </c>
      <c r="D50" s="6">
        <v>0</v>
      </c>
      <c r="E50" t="s">
        <v>9</v>
      </c>
    </row>
    <row r="51" spans="1:9" hidden="1" x14ac:dyDescent="0.3">
      <c r="A51" s="8">
        <v>46192</v>
      </c>
      <c r="B51" s="5">
        <v>46189</v>
      </c>
      <c r="C51" s="5">
        <v>46203</v>
      </c>
      <c r="D51" s="6">
        <v>0</v>
      </c>
      <c r="E51" t="s">
        <v>9</v>
      </c>
    </row>
    <row r="52" spans="1:9" hidden="1" x14ac:dyDescent="0.3">
      <c r="A52" s="8">
        <v>46193</v>
      </c>
      <c r="B52" s="5">
        <v>46189</v>
      </c>
      <c r="C52" s="5">
        <v>46203</v>
      </c>
      <c r="D52" s="6">
        <v>0</v>
      </c>
      <c r="E52" t="s">
        <v>9</v>
      </c>
    </row>
    <row r="53" spans="1:9" hidden="1" x14ac:dyDescent="0.3">
      <c r="A53" s="8">
        <v>46194</v>
      </c>
      <c r="B53" s="5">
        <v>46189</v>
      </c>
      <c r="C53" s="5">
        <v>46203</v>
      </c>
      <c r="D53" s="6">
        <v>0</v>
      </c>
      <c r="E53" t="s">
        <v>9</v>
      </c>
    </row>
    <row r="54" spans="1:9" hidden="1" x14ac:dyDescent="0.3">
      <c r="A54" s="8">
        <v>46195</v>
      </c>
      <c r="B54" s="5">
        <v>46189</v>
      </c>
      <c r="C54" s="5">
        <v>46203</v>
      </c>
      <c r="D54" s="6">
        <v>0</v>
      </c>
      <c r="E54" t="s">
        <v>9</v>
      </c>
    </row>
    <row r="55" spans="1:9" hidden="1" x14ac:dyDescent="0.3">
      <c r="A55" s="8">
        <v>46196</v>
      </c>
      <c r="B55" s="5">
        <v>46189</v>
      </c>
      <c r="C55" s="5">
        <v>46203</v>
      </c>
      <c r="D55" s="6">
        <v>0</v>
      </c>
      <c r="E55" t="s">
        <v>9</v>
      </c>
    </row>
    <row r="56" spans="1:9" hidden="1" x14ac:dyDescent="0.3">
      <c r="A56" s="8">
        <v>46197</v>
      </c>
      <c r="B56" s="5">
        <v>46189</v>
      </c>
      <c r="C56" s="5">
        <v>46203</v>
      </c>
      <c r="D56" s="6">
        <v>0</v>
      </c>
      <c r="E56" t="s">
        <v>9</v>
      </c>
    </row>
    <row r="57" spans="1:9" hidden="1" x14ac:dyDescent="0.3">
      <c r="A57" s="8">
        <v>46198</v>
      </c>
      <c r="B57" s="5">
        <v>46189</v>
      </c>
      <c r="C57" s="5">
        <v>46203</v>
      </c>
      <c r="D57" s="6">
        <v>0</v>
      </c>
      <c r="E57" t="s">
        <v>9</v>
      </c>
    </row>
    <row r="58" spans="1:9" hidden="1" x14ac:dyDescent="0.3">
      <c r="A58" s="8">
        <v>46199</v>
      </c>
      <c r="B58" s="5">
        <v>46189</v>
      </c>
      <c r="C58" s="5">
        <v>46203</v>
      </c>
      <c r="D58" s="6">
        <v>0</v>
      </c>
      <c r="E58" t="s">
        <v>9</v>
      </c>
    </row>
    <row r="59" spans="1:9" hidden="1" x14ac:dyDescent="0.3">
      <c r="A59" s="8">
        <v>46200</v>
      </c>
      <c r="B59" s="5">
        <v>46189</v>
      </c>
      <c r="C59" s="5">
        <v>46203</v>
      </c>
      <c r="D59" s="6">
        <v>0</v>
      </c>
      <c r="E59" t="s">
        <v>9</v>
      </c>
    </row>
    <row r="60" spans="1:9" hidden="1" x14ac:dyDescent="0.3">
      <c r="A60" s="8">
        <v>46201</v>
      </c>
      <c r="B60" s="5">
        <v>46189</v>
      </c>
      <c r="C60" s="5">
        <v>46203</v>
      </c>
      <c r="D60" s="6">
        <v>0</v>
      </c>
      <c r="E60" t="s">
        <v>9</v>
      </c>
    </row>
    <row r="61" spans="1:9" hidden="1" x14ac:dyDescent="0.3">
      <c r="A61" s="8">
        <v>46202</v>
      </c>
      <c r="B61" s="5">
        <v>46189</v>
      </c>
      <c r="C61" s="5">
        <v>46203</v>
      </c>
      <c r="D61" s="6">
        <v>0</v>
      </c>
      <c r="E61" t="s">
        <v>9</v>
      </c>
    </row>
    <row r="62" spans="1:9" hidden="1" x14ac:dyDescent="0.3">
      <c r="A62" s="8">
        <v>46203</v>
      </c>
      <c r="B62" s="5">
        <v>46189</v>
      </c>
      <c r="C62" s="5">
        <v>46203</v>
      </c>
      <c r="D62" s="6">
        <v>0</v>
      </c>
      <c r="E62" t="s">
        <v>9</v>
      </c>
    </row>
    <row r="63" spans="1:9" hidden="1" x14ac:dyDescent="0.3">
      <c r="A63" s="8">
        <v>46204</v>
      </c>
      <c r="B63" s="5">
        <v>46204</v>
      </c>
      <c r="C63" s="5">
        <v>46218</v>
      </c>
      <c r="D63" s="6">
        <v>1</v>
      </c>
      <c r="E63" t="s">
        <v>10</v>
      </c>
      <c r="F63" s="6" t="s">
        <v>26</v>
      </c>
      <c r="G63" s="6" t="s">
        <v>79</v>
      </c>
      <c r="H63" s="6">
        <v>10557</v>
      </c>
      <c r="I63" s="6">
        <v>4443</v>
      </c>
    </row>
    <row r="64" spans="1:9" hidden="1" x14ac:dyDescent="0.3">
      <c r="A64" s="8">
        <v>46205</v>
      </c>
      <c r="B64" s="5">
        <v>46204</v>
      </c>
      <c r="C64" s="5">
        <v>46218</v>
      </c>
      <c r="D64" s="6">
        <v>0</v>
      </c>
      <c r="E64" t="s">
        <v>10</v>
      </c>
    </row>
    <row r="65" spans="1:9" hidden="1" x14ac:dyDescent="0.3">
      <c r="A65" s="8">
        <v>46206</v>
      </c>
      <c r="B65" s="5">
        <v>46204</v>
      </c>
      <c r="C65" s="5">
        <v>46218</v>
      </c>
      <c r="D65" s="6">
        <v>0</v>
      </c>
      <c r="E65" t="s">
        <v>10</v>
      </c>
    </row>
    <row r="66" spans="1:9" hidden="1" x14ac:dyDescent="0.3">
      <c r="A66" s="8">
        <v>46207</v>
      </c>
      <c r="B66" s="5">
        <v>46204</v>
      </c>
      <c r="C66" s="5">
        <v>46218</v>
      </c>
      <c r="D66" s="6">
        <v>0</v>
      </c>
      <c r="E66" t="s">
        <v>10</v>
      </c>
    </row>
    <row r="67" spans="1:9" hidden="1" x14ac:dyDescent="0.3">
      <c r="A67" s="8">
        <v>46208</v>
      </c>
      <c r="B67" s="5">
        <v>46204</v>
      </c>
      <c r="C67" s="5">
        <v>46218</v>
      </c>
      <c r="D67" s="6">
        <v>0</v>
      </c>
      <c r="E67" t="s">
        <v>10</v>
      </c>
    </row>
    <row r="68" spans="1:9" hidden="1" x14ac:dyDescent="0.3">
      <c r="A68" s="8">
        <v>46209</v>
      </c>
      <c r="B68" s="5">
        <v>46204</v>
      </c>
      <c r="C68" s="5">
        <v>46218</v>
      </c>
      <c r="D68" s="6">
        <v>0</v>
      </c>
      <c r="E68" t="s">
        <v>10</v>
      </c>
    </row>
    <row r="69" spans="1:9" hidden="1" x14ac:dyDescent="0.3">
      <c r="A69" s="8">
        <v>46210</v>
      </c>
      <c r="B69" s="5">
        <v>46204</v>
      </c>
      <c r="C69" s="5">
        <v>46218</v>
      </c>
      <c r="D69" s="6">
        <v>0</v>
      </c>
      <c r="E69" t="s">
        <v>10</v>
      </c>
    </row>
    <row r="70" spans="1:9" hidden="1" x14ac:dyDescent="0.3">
      <c r="A70" s="8">
        <v>46211</v>
      </c>
      <c r="B70" s="5">
        <v>46204</v>
      </c>
      <c r="C70" s="5">
        <v>46218</v>
      </c>
      <c r="D70" s="6">
        <v>0</v>
      </c>
      <c r="E70" t="s">
        <v>10</v>
      </c>
    </row>
    <row r="71" spans="1:9" hidden="1" x14ac:dyDescent="0.3">
      <c r="A71" s="8">
        <v>46212</v>
      </c>
      <c r="B71" s="5">
        <v>46204</v>
      </c>
      <c r="C71" s="5">
        <v>46218</v>
      </c>
      <c r="D71" s="6">
        <v>0</v>
      </c>
      <c r="E71" t="s">
        <v>10</v>
      </c>
    </row>
    <row r="72" spans="1:9" hidden="1" x14ac:dyDescent="0.3">
      <c r="A72" s="8">
        <v>46213</v>
      </c>
      <c r="B72" s="5">
        <v>46204</v>
      </c>
      <c r="C72" s="5">
        <v>46218</v>
      </c>
      <c r="D72" s="6">
        <v>0</v>
      </c>
      <c r="E72" t="s">
        <v>10</v>
      </c>
    </row>
    <row r="73" spans="1:9" hidden="1" x14ac:dyDescent="0.3">
      <c r="A73" s="8">
        <v>46214</v>
      </c>
      <c r="B73" s="5">
        <v>46204</v>
      </c>
      <c r="C73" s="5">
        <v>46218</v>
      </c>
      <c r="D73" s="6">
        <v>0</v>
      </c>
      <c r="E73" t="s">
        <v>10</v>
      </c>
    </row>
    <row r="74" spans="1:9" hidden="1" x14ac:dyDescent="0.3">
      <c r="A74" s="8">
        <v>46215</v>
      </c>
      <c r="B74" s="5">
        <v>46204</v>
      </c>
      <c r="C74" s="5">
        <v>46218</v>
      </c>
      <c r="D74" s="6">
        <v>0</v>
      </c>
      <c r="E74" t="s">
        <v>10</v>
      </c>
    </row>
    <row r="75" spans="1:9" hidden="1" x14ac:dyDescent="0.3">
      <c r="A75" s="8">
        <v>46216</v>
      </c>
      <c r="B75" s="5">
        <v>46204</v>
      </c>
      <c r="C75" s="5">
        <v>46218</v>
      </c>
      <c r="D75" s="6">
        <v>0</v>
      </c>
      <c r="E75" t="s">
        <v>10</v>
      </c>
    </row>
    <row r="76" spans="1:9" hidden="1" x14ac:dyDescent="0.3">
      <c r="A76" s="8">
        <v>46217</v>
      </c>
      <c r="B76" s="5">
        <v>46204</v>
      </c>
      <c r="C76" s="5">
        <v>46218</v>
      </c>
      <c r="D76" s="6">
        <v>0</v>
      </c>
      <c r="E76" t="s">
        <v>10</v>
      </c>
    </row>
    <row r="77" spans="1:9" hidden="1" x14ac:dyDescent="0.3">
      <c r="A77" s="8">
        <v>46218</v>
      </c>
      <c r="B77" s="5">
        <v>46204</v>
      </c>
      <c r="C77" s="5">
        <v>46218</v>
      </c>
      <c r="D77" s="6">
        <v>0</v>
      </c>
      <c r="E77" t="s">
        <v>10</v>
      </c>
    </row>
    <row r="78" spans="1:9" hidden="1" x14ac:dyDescent="0.3">
      <c r="A78" s="8">
        <v>46219</v>
      </c>
      <c r="B78" s="5">
        <v>46219</v>
      </c>
      <c r="C78" s="5">
        <v>46234</v>
      </c>
      <c r="D78" s="6">
        <v>1</v>
      </c>
      <c r="E78" t="s">
        <v>11</v>
      </c>
      <c r="F78" s="6" t="s">
        <v>26</v>
      </c>
      <c r="G78" s="6" t="s">
        <v>79</v>
      </c>
      <c r="H78" s="6">
        <v>10557</v>
      </c>
      <c r="I78" s="6">
        <v>4443</v>
      </c>
    </row>
    <row r="79" spans="1:9" hidden="1" x14ac:dyDescent="0.3">
      <c r="A79" s="8">
        <v>46220</v>
      </c>
      <c r="B79" s="5">
        <v>46219</v>
      </c>
      <c r="C79" s="5">
        <v>46234</v>
      </c>
      <c r="D79" s="6">
        <v>0</v>
      </c>
      <c r="E79" t="s">
        <v>11</v>
      </c>
    </row>
    <row r="80" spans="1:9" hidden="1" x14ac:dyDescent="0.3">
      <c r="A80" s="8">
        <v>46221</v>
      </c>
      <c r="B80" s="5">
        <v>46219</v>
      </c>
      <c r="C80" s="5">
        <v>46234</v>
      </c>
      <c r="D80" s="6">
        <v>0</v>
      </c>
      <c r="E80" t="s">
        <v>11</v>
      </c>
    </row>
    <row r="81" spans="1:9" hidden="1" x14ac:dyDescent="0.3">
      <c r="A81" s="8">
        <v>46222</v>
      </c>
      <c r="B81" s="5">
        <v>46219</v>
      </c>
      <c r="C81" s="5">
        <v>46234</v>
      </c>
      <c r="D81" s="6">
        <v>0</v>
      </c>
      <c r="E81" t="s">
        <v>11</v>
      </c>
    </row>
    <row r="82" spans="1:9" hidden="1" x14ac:dyDescent="0.3">
      <c r="A82" s="8">
        <v>46223</v>
      </c>
      <c r="B82" s="5">
        <v>46219</v>
      </c>
      <c r="C82" s="5">
        <v>46234</v>
      </c>
      <c r="D82" s="6">
        <v>0</v>
      </c>
      <c r="E82" t="s">
        <v>11</v>
      </c>
    </row>
    <row r="83" spans="1:9" hidden="1" x14ac:dyDescent="0.3">
      <c r="A83" s="8">
        <v>46224</v>
      </c>
      <c r="B83" s="5">
        <v>46219</v>
      </c>
      <c r="C83" s="5">
        <v>46234</v>
      </c>
      <c r="D83" s="6">
        <v>0</v>
      </c>
      <c r="E83" t="s">
        <v>11</v>
      </c>
    </row>
    <row r="84" spans="1:9" hidden="1" x14ac:dyDescent="0.3">
      <c r="A84" s="8">
        <v>46225</v>
      </c>
      <c r="B84" s="5">
        <v>46219</v>
      </c>
      <c r="C84" s="5">
        <v>46234</v>
      </c>
      <c r="D84" s="6">
        <v>0</v>
      </c>
      <c r="E84" t="s">
        <v>11</v>
      </c>
    </row>
    <row r="85" spans="1:9" hidden="1" x14ac:dyDescent="0.3">
      <c r="A85" s="8">
        <v>46226</v>
      </c>
      <c r="B85" s="5">
        <v>46219</v>
      </c>
      <c r="C85" s="5">
        <v>46234</v>
      </c>
      <c r="D85" s="6">
        <v>0</v>
      </c>
      <c r="E85" t="s">
        <v>11</v>
      </c>
    </row>
    <row r="86" spans="1:9" hidden="1" x14ac:dyDescent="0.3">
      <c r="A86" s="8">
        <v>46227</v>
      </c>
      <c r="B86" s="5">
        <v>46219</v>
      </c>
      <c r="C86" s="5">
        <v>46234</v>
      </c>
      <c r="D86" s="6">
        <v>0</v>
      </c>
      <c r="E86" t="s">
        <v>11</v>
      </c>
    </row>
    <row r="87" spans="1:9" hidden="1" x14ac:dyDescent="0.3">
      <c r="A87" s="8">
        <v>46228</v>
      </c>
      <c r="B87" s="5">
        <v>46219</v>
      </c>
      <c r="C87" s="5">
        <v>46234</v>
      </c>
      <c r="D87" s="6">
        <v>0</v>
      </c>
      <c r="E87" t="s">
        <v>11</v>
      </c>
    </row>
    <row r="88" spans="1:9" hidden="1" x14ac:dyDescent="0.3">
      <c r="A88" s="8">
        <v>46229</v>
      </c>
      <c r="B88" s="5">
        <v>46219</v>
      </c>
      <c r="C88" s="5">
        <v>46234</v>
      </c>
      <c r="D88" s="6">
        <v>0</v>
      </c>
      <c r="E88" t="s">
        <v>11</v>
      </c>
    </row>
    <row r="89" spans="1:9" hidden="1" x14ac:dyDescent="0.3">
      <c r="A89" s="8">
        <v>46230</v>
      </c>
      <c r="B89" s="5">
        <v>46219</v>
      </c>
      <c r="C89" s="5">
        <v>46234</v>
      </c>
      <c r="D89" s="6">
        <v>0</v>
      </c>
      <c r="E89" t="s">
        <v>11</v>
      </c>
    </row>
    <row r="90" spans="1:9" hidden="1" x14ac:dyDescent="0.3">
      <c r="A90" s="8">
        <v>46231</v>
      </c>
      <c r="B90" s="5">
        <v>46219</v>
      </c>
      <c r="C90" s="5">
        <v>46234</v>
      </c>
      <c r="D90" s="6">
        <v>0</v>
      </c>
      <c r="E90" t="s">
        <v>11</v>
      </c>
    </row>
    <row r="91" spans="1:9" hidden="1" x14ac:dyDescent="0.3">
      <c r="A91" s="8">
        <v>46232</v>
      </c>
      <c r="B91" s="5">
        <v>46219</v>
      </c>
      <c r="C91" s="5">
        <v>46234</v>
      </c>
      <c r="D91" s="6">
        <v>0</v>
      </c>
      <c r="E91" t="s">
        <v>11</v>
      </c>
    </row>
    <row r="92" spans="1:9" hidden="1" x14ac:dyDescent="0.3">
      <c r="A92" s="8">
        <v>46233</v>
      </c>
      <c r="B92" s="5">
        <v>46219</v>
      </c>
      <c r="C92" s="5">
        <v>46234</v>
      </c>
      <c r="D92" s="6">
        <v>0</v>
      </c>
      <c r="E92" t="s">
        <v>11</v>
      </c>
    </row>
    <row r="93" spans="1:9" hidden="1" x14ac:dyDescent="0.3">
      <c r="A93" s="8">
        <v>46234</v>
      </c>
      <c r="B93" s="5">
        <v>46219</v>
      </c>
      <c r="C93" s="5">
        <v>46234</v>
      </c>
      <c r="D93" s="6">
        <v>0</v>
      </c>
      <c r="E93" t="s">
        <v>11</v>
      </c>
    </row>
    <row r="94" spans="1:9" hidden="1" x14ac:dyDescent="0.3">
      <c r="A94" s="8">
        <v>46235</v>
      </c>
      <c r="B94" s="5">
        <v>46235</v>
      </c>
      <c r="C94" s="5">
        <v>46249</v>
      </c>
      <c r="D94" s="6">
        <v>1</v>
      </c>
      <c r="E94" t="s">
        <v>12</v>
      </c>
      <c r="F94" s="6" t="s">
        <v>26</v>
      </c>
      <c r="G94" s="6" t="s">
        <v>79</v>
      </c>
      <c r="H94" s="6">
        <v>10557</v>
      </c>
      <c r="I94" s="6">
        <v>4443</v>
      </c>
    </row>
    <row r="95" spans="1:9" hidden="1" x14ac:dyDescent="0.3">
      <c r="A95" s="8">
        <v>46236</v>
      </c>
      <c r="B95" s="5">
        <v>46235</v>
      </c>
      <c r="C95" s="5">
        <v>46249</v>
      </c>
      <c r="D95" s="6">
        <v>0</v>
      </c>
      <c r="E95" t="s">
        <v>12</v>
      </c>
    </row>
    <row r="96" spans="1:9" hidden="1" x14ac:dyDescent="0.3">
      <c r="A96" s="8">
        <v>46237</v>
      </c>
      <c r="B96" s="5">
        <v>46235</v>
      </c>
      <c r="C96" s="5">
        <v>46249</v>
      </c>
      <c r="D96" s="6">
        <v>0</v>
      </c>
      <c r="E96" t="s">
        <v>12</v>
      </c>
    </row>
    <row r="97" spans="1:9" hidden="1" x14ac:dyDescent="0.3">
      <c r="A97" s="8">
        <v>46238</v>
      </c>
      <c r="B97" s="5">
        <v>46235</v>
      </c>
      <c r="C97" s="5">
        <v>46249</v>
      </c>
      <c r="D97" s="6">
        <v>0</v>
      </c>
      <c r="E97" t="s">
        <v>12</v>
      </c>
    </row>
    <row r="98" spans="1:9" hidden="1" x14ac:dyDescent="0.3">
      <c r="A98" s="8">
        <v>46239</v>
      </c>
      <c r="B98" s="5">
        <v>46235</v>
      </c>
      <c r="C98" s="5">
        <v>46249</v>
      </c>
      <c r="D98" s="6">
        <v>0</v>
      </c>
      <c r="E98" t="s">
        <v>12</v>
      </c>
    </row>
    <row r="99" spans="1:9" hidden="1" x14ac:dyDescent="0.3">
      <c r="A99" s="8">
        <v>46240</v>
      </c>
      <c r="B99" s="5">
        <v>46235</v>
      </c>
      <c r="C99" s="5">
        <v>46249</v>
      </c>
      <c r="D99" s="6">
        <v>0</v>
      </c>
      <c r="E99" t="s">
        <v>12</v>
      </c>
    </row>
    <row r="100" spans="1:9" hidden="1" x14ac:dyDescent="0.3">
      <c r="A100" s="8">
        <v>46241</v>
      </c>
      <c r="B100" s="5">
        <v>46235</v>
      </c>
      <c r="C100" s="5">
        <v>46249</v>
      </c>
      <c r="D100" s="6">
        <v>0</v>
      </c>
      <c r="E100" t="s">
        <v>12</v>
      </c>
    </row>
    <row r="101" spans="1:9" hidden="1" x14ac:dyDescent="0.3">
      <c r="A101" s="8">
        <v>46242</v>
      </c>
      <c r="B101" s="5">
        <v>46235</v>
      </c>
      <c r="C101" s="5">
        <v>46249</v>
      </c>
      <c r="D101" s="6">
        <v>0</v>
      </c>
      <c r="E101" t="s">
        <v>12</v>
      </c>
    </row>
    <row r="102" spans="1:9" hidden="1" x14ac:dyDescent="0.3">
      <c r="A102" s="8">
        <v>46243</v>
      </c>
      <c r="B102" s="5">
        <v>46235</v>
      </c>
      <c r="C102" s="5">
        <v>46249</v>
      </c>
      <c r="D102" s="6">
        <v>0</v>
      </c>
      <c r="E102" t="s">
        <v>12</v>
      </c>
    </row>
    <row r="103" spans="1:9" hidden="1" x14ac:dyDescent="0.3">
      <c r="A103" s="8">
        <v>46244</v>
      </c>
      <c r="B103" s="5">
        <v>46235</v>
      </c>
      <c r="C103" s="5">
        <v>46249</v>
      </c>
      <c r="D103" s="6">
        <v>0</v>
      </c>
      <c r="E103" t="s">
        <v>12</v>
      </c>
    </row>
    <row r="104" spans="1:9" hidden="1" x14ac:dyDescent="0.3">
      <c r="A104" s="8">
        <v>46245</v>
      </c>
      <c r="B104" s="5">
        <v>46235</v>
      </c>
      <c r="C104" s="5">
        <v>46249</v>
      </c>
      <c r="D104" s="6">
        <v>0</v>
      </c>
      <c r="E104" t="s">
        <v>12</v>
      </c>
    </row>
    <row r="105" spans="1:9" hidden="1" x14ac:dyDescent="0.3">
      <c r="A105" s="8">
        <v>46246</v>
      </c>
      <c r="B105" s="5">
        <v>46235</v>
      </c>
      <c r="C105" s="5">
        <v>46249</v>
      </c>
      <c r="D105" s="6">
        <v>0</v>
      </c>
      <c r="E105" t="s">
        <v>12</v>
      </c>
    </row>
    <row r="106" spans="1:9" hidden="1" x14ac:dyDescent="0.3">
      <c r="A106" s="8">
        <v>46247</v>
      </c>
      <c r="B106" s="5">
        <v>46235</v>
      </c>
      <c r="C106" s="5">
        <v>46249</v>
      </c>
      <c r="D106" s="6">
        <v>0</v>
      </c>
      <c r="E106" t="s">
        <v>12</v>
      </c>
    </row>
    <row r="107" spans="1:9" hidden="1" x14ac:dyDescent="0.3">
      <c r="A107" s="8">
        <v>46248</v>
      </c>
      <c r="B107" s="5">
        <v>46235</v>
      </c>
      <c r="C107" s="5">
        <v>46249</v>
      </c>
      <c r="D107" s="6">
        <v>0</v>
      </c>
      <c r="E107" t="s">
        <v>12</v>
      </c>
    </row>
    <row r="108" spans="1:9" hidden="1" x14ac:dyDescent="0.3">
      <c r="A108" s="8">
        <v>46249</v>
      </c>
      <c r="B108" s="5">
        <v>46235</v>
      </c>
      <c r="C108" s="5">
        <v>46249</v>
      </c>
      <c r="D108" s="6">
        <v>0</v>
      </c>
      <c r="E108" t="s">
        <v>12</v>
      </c>
    </row>
    <row r="109" spans="1:9" hidden="1" x14ac:dyDescent="0.3">
      <c r="A109" s="8">
        <v>46250</v>
      </c>
      <c r="B109" s="5">
        <v>46250</v>
      </c>
      <c r="C109" s="5">
        <v>46265</v>
      </c>
      <c r="D109" s="6">
        <v>1</v>
      </c>
      <c r="E109" t="s">
        <v>13</v>
      </c>
      <c r="F109" s="6" t="s">
        <v>26</v>
      </c>
      <c r="G109" s="6" t="s">
        <v>79</v>
      </c>
      <c r="H109" s="6">
        <v>10557</v>
      </c>
      <c r="I109" s="6">
        <v>4443</v>
      </c>
    </row>
    <row r="110" spans="1:9" hidden="1" x14ac:dyDescent="0.3">
      <c r="A110" s="8">
        <v>46251</v>
      </c>
      <c r="B110" s="5">
        <v>46250</v>
      </c>
      <c r="C110" s="5">
        <v>46265</v>
      </c>
      <c r="D110" s="6">
        <v>0</v>
      </c>
      <c r="E110" t="s">
        <v>13</v>
      </c>
    </row>
    <row r="111" spans="1:9" hidden="1" x14ac:dyDescent="0.3">
      <c r="A111" s="8">
        <v>46252</v>
      </c>
      <c r="B111" s="5">
        <v>46250</v>
      </c>
      <c r="C111" s="5">
        <v>46265</v>
      </c>
      <c r="D111" s="6">
        <v>0</v>
      </c>
      <c r="E111" t="s">
        <v>13</v>
      </c>
    </row>
    <row r="112" spans="1:9" hidden="1" x14ac:dyDescent="0.3">
      <c r="A112" s="8">
        <v>46253</v>
      </c>
      <c r="B112" s="5">
        <v>46250</v>
      </c>
      <c r="C112" s="5">
        <v>46265</v>
      </c>
      <c r="D112" s="6">
        <v>0</v>
      </c>
      <c r="E112" t="s">
        <v>13</v>
      </c>
    </row>
    <row r="113" spans="1:9" hidden="1" x14ac:dyDescent="0.3">
      <c r="A113" s="8">
        <v>46254</v>
      </c>
      <c r="B113" s="5">
        <v>46250</v>
      </c>
      <c r="C113" s="5">
        <v>46265</v>
      </c>
      <c r="D113" s="6">
        <v>0</v>
      </c>
      <c r="E113" t="s">
        <v>13</v>
      </c>
    </row>
    <row r="114" spans="1:9" hidden="1" x14ac:dyDescent="0.3">
      <c r="A114" s="8">
        <v>46255</v>
      </c>
      <c r="B114" s="5">
        <v>46250</v>
      </c>
      <c r="C114" s="5">
        <v>46265</v>
      </c>
      <c r="D114" s="6">
        <v>0</v>
      </c>
      <c r="E114" t="s">
        <v>13</v>
      </c>
    </row>
    <row r="115" spans="1:9" hidden="1" x14ac:dyDescent="0.3">
      <c r="A115" s="8">
        <v>46256</v>
      </c>
      <c r="B115" s="5">
        <v>46250</v>
      </c>
      <c r="C115" s="5">
        <v>46265</v>
      </c>
      <c r="D115" s="6">
        <v>0</v>
      </c>
      <c r="E115" t="s">
        <v>13</v>
      </c>
    </row>
    <row r="116" spans="1:9" hidden="1" x14ac:dyDescent="0.3">
      <c r="A116" s="8">
        <v>46257</v>
      </c>
      <c r="B116" s="5">
        <v>46250</v>
      </c>
      <c r="C116" s="5">
        <v>46265</v>
      </c>
      <c r="D116" s="6">
        <v>0</v>
      </c>
      <c r="E116" t="s">
        <v>13</v>
      </c>
    </row>
    <row r="117" spans="1:9" hidden="1" x14ac:dyDescent="0.3">
      <c r="A117" s="8">
        <v>46258</v>
      </c>
      <c r="B117" s="5">
        <v>46250</v>
      </c>
      <c r="C117" s="5">
        <v>46265</v>
      </c>
      <c r="D117" s="6">
        <v>0</v>
      </c>
      <c r="E117" t="s">
        <v>13</v>
      </c>
    </row>
    <row r="118" spans="1:9" hidden="1" x14ac:dyDescent="0.3">
      <c r="A118" s="8">
        <v>46259</v>
      </c>
      <c r="B118" s="5">
        <v>46250</v>
      </c>
      <c r="C118" s="5">
        <v>46265</v>
      </c>
      <c r="D118" s="6">
        <v>0</v>
      </c>
      <c r="E118" t="s">
        <v>13</v>
      </c>
    </row>
    <row r="119" spans="1:9" hidden="1" x14ac:dyDescent="0.3">
      <c r="A119" s="8">
        <v>46260</v>
      </c>
      <c r="B119" s="5">
        <v>46250</v>
      </c>
      <c r="C119" s="5">
        <v>46265</v>
      </c>
      <c r="D119" s="6">
        <v>0</v>
      </c>
      <c r="E119" t="s">
        <v>13</v>
      </c>
    </row>
    <row r="120" spans="1:9" hidden="1" x14ac:dyDescent="0.3">
      <c r="A120" s="8">
        <v>46261</v>
      </c>
      <c r="B120" s="5">
        <v>46250</v>
      </c>
      <c r="C120" s="5">
        <v>46265</v>
      </c>
      <c r="D120" s="6">
        <v>0</v>
      </c>
      <c r="E120" t="s">
        <v>13</v>
      </c>
    </row>
    <row r="121" spans="1:9" hidden="1" x14ac:dyDescent="0.3">
      <c r="A121" s="8">
        <v>46262</v>
      </c>
      <c r="B121" s="5">
        <v>46250</v>
      </c>
      <c r="C121" s="5">
        <v>46265</v>
      </c>
      <c r="D121" s="6">
        <v>0</v>
      </c>
      <c r="E121" t="s">
        <v>13</v>
      </c>
    </row>
    <row r="122" spans="1:9" hidden="1" x14ac:dyDescent="0.3">
      <c r="A122" s="8">
        <v>46263</v>
      </c>
      <c r="B122" s="5">
        <v>46250</v>
      </c>
      <c r="C122" s="5">
        <v>46265</v>
      </c>
      <c r="D122" s="6">
        <v>0</v>
      </c>
      <c r="E122" t="s">
        <v>13</v>
      </c>
    </row>
    <row r="123" spans="1:9" hidden="1" x14ac:dyDescent="0.3">
      <c r="A123" s="8">
        <v>46264</v>
      </c>
      <c r="B123" s="5">
        <v>46250</v>
      </c>
      <c r="C123" s="5">
        <v>46265</v>
      </c>
      <c r="D123" s="6">
        <v>0</v>
      </c>
      <c r="E123" t="s">
        <v>13</v>
      </c>
    </row>
    <row r="124" spans="1:9" hidden="1" x14ac:dyDescent="0.3">
      <c r="A124" s="8">
        <v>46265</v>
      </c>
      <c r="B124" s="5">
        <v>46250</v>
      </c>
      <c r="C124" s="5">
        <v>46265</v>
      </c>
      <c r="D124" s="6">
        <v>0</v>
      </c>
      <c r="E124" t="s">
        <v>13</v>
      </c>
    </row>
    <row r="125" spans="1:9" hidden="1" x14ac:dyDescent="0.3">
      <c r="A125" s="8">
        <v>46266</v>
      </c>
      <c r="B125" s="5">
        <v>46266</v>
      </c>
      <c r="C125" s="5">
        <v>46280</v>
      </c>
      <c r="D125" s="6">
        <v>1</v>
      </c>
      <c r="E125" t="s">
        <v>14</v>
      </c>
      <c r="F125" s="6" t="s">
        <v>26</v>
      </c>
      <c r="G125" s="6" t="s">
        <v>79</v>
      </c>
      <c r="H125" s="6">
        <v>10557</v>
      </c>
      <c r="I125" s="6">
        <v>4443</v>
      </c>
    </row>
    <row r="126" spans="1:9" hidden="1" x14ac:dyDescent="0.3">
      <c r="A126" s="8">
        <v>46267</v>
      </c>
      <c r="B126" s="5">
        <v>46266</v>
      </c>
      <c r="C126" s="5">
        <v>46280</v>
      </c>
      <c r="D126" s="6">
        <v>0</v>
      </c>
      <c r="E126" t="s">
        <v>14</v>
      </c>
    </row>
    <row r="127" spans="1:9" hidden="1" x14ac:dyDescent="0.3">
      <c r="A127" s="8">
        <v>46268</v>
      </c>
      <c r="B127" s="5">
        <v>46266</v>
      </c>
      <c r="C127" s="5">
        <v>46280</v>
      </c>
      <c r="D127" s="6">
        <v>0</v>
      </c>
      <c r="E127" t="s">
        <v>14</v>
      </c>
    </row>
    <row r="128" spans="1:9" hidden="1" x14ac:dyDescent="0.3">
      <c r="A128" s="8">
        <v>46269</v>
      </c>
      <c r="B128" s="5">
        <v>46266</v>
      </c>
      <c r="C128" s="5">
        <v>46280</v>
      </c>
      <c r="D128" s="6">
        <v>0</v>
      </c>
      <c r="E128" t="s">
        <v>14</v>
      </c>
    </row>
    <row r="129" spans="1:9" hidden="1" x14ac:dyDescent="0.3">
      <c r="A129" s="8">
        <v>46270</v>
      </c>
      <c r="B129" s="5">
        <v>46266</v>
      </c>
      <c r="C129" s="5">
        <v>46280</v>
      </c>
      <c r="D129" s="6">
        <v>0</v>
      </c>
      <c r="E129" t="s">
        <v>14</v>
      </c>
    </row>
    <row r="130" spans="1:9" hidden="1" x14ac:dyDescent="0.3">
      <c r="A130" s="8">
        <v>46271</v>
      </c>
      <c r="B130" s="5">
        <v>46266</v>
      </c>
      <c r="C130" s="5">
        <v>46280</v>
      </c>
      <c r="D130" s="6">
        <v>0</v>
      </c>
      <c r="E130" t="s">
        <v>14</v>
      </c>
    </row>
    <row r="131" spans="1:9" hidden="1" x14ac:dyDescent="0.3">
      <c r="A131" s="8">
        <v>46272</v>
      </c>
      <c r="B131" s="5">
        <v>46266</v>
      </c>
      <c r="C131" s="5">
        <v>46280</v>
      </c>
      <c r="D131" s="6">
        <v>0</v>
      </c>
      <c r="E131" t="s">
        <v>14</v>
      </c>
    </row>
    <row r="132" spans="1:9" hidden="1" x14ac:dyDescent="0.3">
      <c r="A132" s="8">
        <v>46273</v>
      </c>
      <c r="B132" s="5">
        <v>46266</v>
      </c>
      <c r="C132" s="5">
        <v>46280</v>
      </c>
      <c r="D132" s="6">
        <v>0</v>
      </c>
      <c r="E132" t="s">
        <v>14</v>
      </c>
    </row>
    <row r="133" spans="1:9" hidden="1" x14ac:dyDescent="0.3">
      <c r="A133" s="8">
        <v>46274</v>
      </c>
      <c r="B133" s="5">
        <v>46266</v>
      </c>
      <c r="C133" s="5">
        <v>46280</v>
      </c>
      <c r="D133" s="6">
        <v>0</v>
      </c>
      <c r="E133" t="s">
        <v>14</v>
      </c>
    </row>
    <row r="134" spans="1:9" hidden="1" x14ac:dyDescent="0.3">
      <c r="A134" s="8">
        <v>46275</v>
      </c>
      <c r="B134" s="5">
        <v>46266</v>
      </c>
      <c r="C134" s="5">
        <v>46280</v>
      </c>
      <c r="D134" s="6">
        <v>0</v>
      </c>
      <c r="E134" t="s">
        <v>14</v>
      </c>
    </row>
    <row r="135" spans="1:9" hidden="1" x14ac:dyDescent="0.3">
      <c r="A135" s="8">
        <v>46276</v>
      </c>
      <c r="B135" s="5">
        <v>46266</v>
      </c>
      <c r="C135" s="5">
        <v>46280</v>
      </c>
      <c r="D135" s="6">
        <v>0</v>
      </c>
      <c r="E135" t="s">
        <v>14</v>
      </c>
    </row>
    <row r="136" spans="1:9" hidden="1" x14ac:dyDescent="0.3">
      <c r="A136" s="8">
        <v>46277</v>
      </c>
      <c r="B136" s="5">
        <v>46266</v>
      </c>
      <c r="C136" s="5">
        <v>46280</v>
      </c>
      <c r="D136" s="6">
        <v>0</v>
      </c>
      <c r="E136" t="s">
        <v>14</v>
      </c>
    </row>
    <row r="137" spans="1:9" hidden="1" x14ac:dyDescent="0.3">
      <c r="A137" s="8">
        <v>46278</v>
      </c>
      <c r="B137" s="5">
        <v>46266</v>
      </c>
      <c r="C137" s="5">
        <v>46280</v>
      </c>
      <c r="D137" s="6">
        <v>0</v>
      </c>
      <c r="E137" t="s">
        <v>14</v>
      </c>
    </row>
    <row r="138" spans="1:9" hidden="1" x14ac:dyDescent="0.3">
      <c r="A138" s="8">
        <v>46279</v>
      </c>
      <c r="B138" s="5">
        <v>46266</v>
      </c>
      <c r="C138" s="5">
        <v>46280</v>
      </c>
      <c r="D138" s="6">
        <v>0</v>
      </c>
      <c r="E138" t="s">
        <v>14</v>
      </c>
    </row>
    <row r="139" spans="1:9" hidden="1" x14ac:dyDescent="0.3">
      <c r="A139" s="8">
        <v>46280</v>
      </c>
      <c r="B139" s="5">
        <v>46266</v>
      </c>
      <c r="C139" s="5">
        <v>46280</v>
      </c>
      <c r="D139" s="6">
        <v>0</v>
      </c>
      <c r="E139" t="s">
        <v>14</v>
      </c>
    </row>
    <row r="140" spans="1:9" hidden="1" x14ac:dyDescent="0.3">
      <c r="A140" s="8">
        <v>46281</v>
      </c>
      <c r="B140" s="5">
        <v>46281</v>
      </c>
      <c r="C140" s="5">
        <v>46295</v>
      </c>
      <c r="D140" s="6">
        <v>1</v>
      </c>
      <c r="E140" t="s">
        <v>15</v>
      </c>
      <c r="F140" s="6" t="s">
        <v>26</v>
      </c>
      <c r="G140" s="6" t="s">
        <v>79</v>
      </c>
      <c r="H140" s="6">
        <v>10557</v>
      </c>
      <c r="I140" s="6">
        <v>4443</v>
      </c>
    </row>
    <row r="141" spans="1:9" hidden="1" x14ac:dyDescent="0.3">
      <c r="A141" s="8">
        <v>46282</v>
      </c>
      <c r="B141" s="5">
        <v>46281</v>
      </c>
      <c r="C141" s="5">
        <v>46295</v>
      </c>
      <c r="D141" s="6">
        <v>0</v>
      </c>
      <c r="E141" t="s">
        <v>15</v>
      </c>
    </row>
    <row r="142" spans="1:9" hidden="1" x14ac:dyDescent="0.3">
      <c r="A142" s="8">
        <v>46283</v>
      </c>
      <c r="B142" s="5">
        <v>46281</v>
      </c>
      <c r="C142" s="5">
        <v>46295</v>
      </c>
      <c r="D142" s="6">
        <v>0</v>
      </c>
      <c r="E142" t="s">
        <v>15</v>
      </c>
    </row>
    <row r="143" spans="1:9" hidden="1" x14ac:dyDescent="0.3">
      <c r="A143" s="8">
        <v>46284</v>
      </c>
      <c r="B143" s="5">
        <v>46281</v>
      </c>
      <c r="C143" s="5">
        <v>46295</v>
      </c>
      <c r="D143" s="6">
        <v>0</v>
      </c>
      <c r="E143" t="s">
        <v>15</v>
      </c>
    </row>
    <row r="144" spans="1:9" hidden="1" x14ac:dyDescent="0.3">
      <c r="A144" s="8">
        <v>46285</v>
      </c>
      <c r="B144" s="5">
        <v>46281</v>
      </c>
      <c r="C144" s="5">
        <v>46295</v>
      </c>
      <c r="D144" s="6">
        <v>0</v>
      </c>
      <c r="E144" t="s">
        <v>15</v>
      </c>
    </row>
    <row r="145" spans="1:9" hidden="1" x14ac:dyDescent="0.3">
      <c r="A145" s="8">
        <v>46286</v>
      </c>
      <c r="B145" s="5">
        <v>46281</v>
      </c>
      <c r="C145" s="5">
        <v>46295</v>
      </c>
      <c r="D145" s="6">
        <v>0</v>
      </c>
      <c r="E145" t="s">
        <v>15</v>
      </c>
    </row>
    <row r="146" spans="1:9" hidden="1" x14ac:dyDescent="0.3">
      <c r="A146" s="8">
        <v>46287</v>
      </c>
      <c r="B146" s="5">
        <v>46281</v>
      </c>
      <c r="C146" s="5">
        <v>46295</v>
      </c>
      <c r="D146" s="6">
        <v>0</v>
      </c>
      <c r="E146" t="s">
        <v>15</v>
      </c>
    </row>
    <row r="147" spans="1:9" hidden="1" x14ac:dyDescent="0.3">
      <c r="A147" s="8">
        <v>46288</v>
      </c>
      <c r="B147" s="5">
        <v>46281</v>
      </c>
      <c r="C147" s="5">
        <v>46295</v>
      </c>
      <c r="D147" s="6">
        <v>0</v>
      </c>
      <c r="E147" t="s">
        <v>15</v>
      </c>
    </row>
    <row r="148" spans="1:9" hidden="1" x14ac:dyDescent="0.3">
      <c r="A148" s="8">
        <v>46289</v>
      </c>
      <c r="B148" s="5">
        <v>46281</v>
      </c>
      <c r="C148" s="5">
        <v>46295</v>
      </c>
      <c r="D148" s="6">
        <v>0</v>
      </c>
      <c r="E148" t="s">
        <v>15</v>
      </c>
    </row>
    <row r="149" spans="1:9" hidden="1" x14ac:dyDescent="0.3">
      <c r="A149" s="8">
        <v>46290</v>
      </c>
      <c r="B149" s="5">
        <v>46281</v>
      </c>
      <c r="C149" s="5">
        <v>46295</v>
      </c>
      <c r="D149" s="6">
        <v>0</v>
      </c>
      <c r="E149" t="s">
        <v>15</v>
      </c>
    </row>
    <row r="150" spans="1:9" hidden="1" x14ac:dyDescent="0.3">
      <c r="A150" s="8">
        <v>46291</v>
      </c>
      <c r="B150" s="5">
        <v>46281</v>
      </c>
      <c r="C150" s="5">
        <v>46295</v>
      </c>
      <c r="D150" s="6">
        <v>0</v>
      </c>
      <c r="E150" t="s">
        <v>15</v>
      </c>
    </row>
    <row r="151" spans="1:9" hidden="1" x14ac:dyDescent="0.3">
      <c r="A151" s="8">
        <v>46292</v>
      </c>
      <c r="B151" s="5">
        <v>46281</v>
      </c>
      <c r="C151" s="5">
        <v>46295</v>
      </c>
      <c r="D151" s="6">
        <v>0</v>
      </c>
      <c r="E151" t="s">
        <v>15</v>
      </c>
    </row>
    <row r="152" spans="1:9" hidden="1" x14ac:dyDescent="0.3">
      <c r="A152" s="8">
        <v>46293</v>
      </c>
      <c r="B152" s="5">
        <v>46281</v>
      </c>
      <c r="C152" s="5">
        <v>46295</v>
      </c>
      <c r="D152" s="6">
        <v>0</v>
      </c>
      <c r="E152" t="s">
        <v>15</v>
      </c>
    </row>
    <row r="153" spans="1:9" hidden="1" x14ac:dyDescent="0.3">
      <c r="A153" s="8">
        <v>46294</v>
      </c>
      <c r="B153" s="5">
        <v>46281</v>
      </c>
      <c r="C153" s="5">
        <v>46295</v>
      </c>
      <c r="D153" s="6">
        <v>0</v>
      </c>
      <c r="E153" t="s">
        <v>15</v>
      </c>
    </row>
    <row r="154" spans="1:9" hidden="1" x14ac:dyDescent="0.3">
      <c r="A154" s="8">
        <v>46295</v>
      </c>
      <c r="B154" s="5">
        <v>46281</v>
      </c>
      <c r="C154" s="5">
        <v>46295</v>
      </c>
      <c r="D154" s="6">
        <v>0</v>
      </c>
      <c r="E154" t="s">
        <v>15</v>
      </c>
    </row>
    <row r="155" spans="1:9" hidden="1" x14ac:dyDescent="0.3">
      <c r="A155" s="8">
        <v>46296</v>
      </c>
      <c r="B155" s="5">
        <v>46296</v>
      </c>
      <c r="C155" s="5">
        <v>46310</v>
      </c>
      <c r="D155" s="6">
        <v>1</v>
      </c>
      <c r="E155" t="s">
        <v>16</v>
      </c>
      <c r="F155" s="6" t="s">
        <v>26</v>
      </c>
      <c r="G155" s="6" t="s">
        <v>79</v>
      </c>
      <c r="H155" s="6">
        <v>10557</v>
      </c>
      <c r="I155" s="6">
        <v>4443</v>
      </c>
    </row>
    <row r="156" spans="1:9" hidden="1" x14ac:dyDescent="0.3">
      <c r="A156" s="8">
        <v>46297</v>
      </c>
      <c r="B156" s="5">
        <v>46296</v>
      </c>
      <c r="C156" s="5">
        <v>46310</v>
      </c>
      <c r="D156" s="6">
        <v>0</v>
      </c>
      <c r="E156" t="s">
        <v>16</v>
      </c>
    </row>
    <row r="157" spans="1:9" hidden="1" x14ac:dyDescent="0.3">
      <c r="A157" s="8">
        <v>46298</v>
      </c>
      <c r="B157" s="5">
        <v>46296</v>
      </c>
      <c r="C157" s="5">
        <v>46310</v>
      </c>
      <c r="D157" s="6">
        <v>0</v>
      </c>
      <c r="E157" t="s">
        <v>16</v>
      </c>
    </row>
    <row r="158" spans="1:9" hidden="1" x14ac:dyDescent="0.3">
      <c r="A158" s="8">
        <v>46299</v>
      </c>
      <c r="B158" s="5">
        <v>46296</v>
      </c>
      <c r="C158" s="5">
        <v>46310</v>
      </c>
      <c r="D158" s="6">
        <v>0</v>
      </c>
      <c r="E158" t="s">
        <v>16</v>
      </c>
    </row>
    <row r="159" spans="1:9" hidden="1" x14ac:dyDescent="0.3">
      <c r="A159" s="8">
        <v>46300</v>
      </c>
      <c r="B159" s="5">
        <v>46296</v>
      </c>
      <c r="C159" s="5">
        <v>46310</v>
      </c>
      <c r="D159" s="6">
        <v>0</v>
      </c>
      <c r="E159" t="s">
        <v>16</v>
      </c>
    </row>
    <row r="160" spans="1:9" hidden="1" x14ac:dyDescent="0.3">
      <c r="A160" s="8">
        <v>46301</v>
      </c>
      <c r="B160" s="5">
        <v>46296</v>
      </c>
      <c r="C160" s="5">
        <v>46310</v>
      </c>
      <c r="D160" s="6">
        <v>0</v>
      </c>
      <c r="E160" t="s">
        <v>16</v>
      </c>
    </row>
    <row r="161" spans="1:9" hidden="1" x14ac:dyDescent="0.3">
      <c r="A161" s="8">
        <v>46302</v>
      </c>
      <c r="B161" s="5">
        <v>46296</v>
      </c>
      <c r="C161" s="5">
        <v>46310</v>
      </c>
      <c r="D161" s="6">
        <v>0</v>
      </c>
      <c r="E161" t="s">
        <v>16</v>
      </c>
    </row>
    <row r="162" spans="1:9" hidden="1" x14ac:dyDescent="0.3">
      <c r="A162" s="8">
        <v>46303</v>
      </c>
      <c r="B162" s="5">
        <v>46296</v>
      </c>
      <c r="C162" s="5">
        <v>46310</v>
      </c>
      <c r="D162" s="6">
        <v>0</v>
      </c>
      <c r="E162" t="s">
        <v>16</v>
      </c>
    </row>
    <row r="163" spans="1:9" hidden="1" x14ac:dyDescent="0.3">
      <c r="A163" s="8">
        <v>46304</v>
      </c>
      <c r="B163" s="5">
        <v>46296</v>
      </c>
      <c r="C163" s="5">
        <v>46310</v>
      </c>
      <c r="D163" s="6">
        <v>0</v>
      </c>
      <c r="E163" t="s">
        <v>16</v>
      </c>
    </row>
    <row r="164" spans="1:9" hidden="1" x14ac:dyDescent="0.3">
      <c r="A164" s="8">
        <v>46305</v>
      </c>
      <c r="B164" s="5">
        <v>46296</v>
      </c>
      <c r="C164" s="5">
        <v>46310</v>
      </c>
      <c r="D164" s="6">
        <v>0</v>
      </c>
      <c r="E164" t="s">
        <v>16</v>
      </c>
    </row>
    <row r="165" spans="1:9" hidden="1" x14ac:dyDescent="0.3">
      <c r="A165" s="8">
        <v>46306</v>
      </c>
      <c r="B165" s="5">
        <v>46296</v>
      </c>
      <c r="C165" s="5">
        <v>46310</v>
      </c>
      <c r="D165" s="6">
        <v>0</v>
      </c>
      <c r="E165" t="s">
        <v>16</v>
      </c>
    </row>
    <row r="166" spans="1:9" hidden="1" x14ac:dyDescent="0.3">
      <c r="A166" s="8">
        <v>46307</v>
      </c>
      <c r="B166" s="5">
        <v>46296</v>
      </c>
      <c r="C166" s="5">
        <v>46310</v>
      </c>
      <c r="D166" s="6">
        <v>0</v>
      </c>
      <c r="E166" t="s">
        <v>16</v>
      </c>
    </row>
    <row r="167" spans="1:9" hidden="1" x14ac:dyDescent="0.3">
      <c r="A167" s="8">
        <v>46308</v>
      </c>
      <c r="B167" s="5">
        <v>46296</v>
      </c>
      <c r="C167" s="5">
        <v>46310</v>
      </c>
      <c r="D167" s="6">
        <v>0</v>
      </c>
      <c r="E167" t="s">
        <v>16</v>
      </c>
    </row>
    <row r="168" spans="1:9" hidden="1" x14ac:dyDescent="0.3">
      <c r="A168" s="8">
        <v>46309</v>
      </c>
      <c r="B168" s="5">
        <v>46296</v>
      </c>
      <c r="C168" s="5">
        <v>46310</v>
      </c>
      <c r="D168" s="6">
        <v>0</v>
      </c>
      <c r="E168" t="s">
        <v>16</v>
      </c>
    </row>
    <row r="169" spans="1:9" hidden="1" x14ac:dyDescent="0.3">
      <c r="A169" s="8">
        <v>46310</v>
      </c>
      <c r="B169" s="5">
        <v>46296</v>
      </c>
      <c r="C169" s="5">
        <v>46310</v>
      </c>
      <c r="D169" s="6">
        <v>0</v>
      </c>
      <c r="E169" t="s">
        <v>16</v>
      </c>
    </row>
    <row r="170" spans="1:9" hidden="1" x14ac:dyDescent="0.3">
      <c r="A170" s="8">
        <v>46311</v>
      </c>
      <c r="B170" s="5">
        <v>46311</v>
      </c>
      <c r="C170" s="5">
        <v>46326</v>
      </c>
      <c r="D170" s="6">
        <v>1</v>
      </c>
      <c r="E170" t="s">
        <v>17</v>
      </c>
      <c r="F170" s="6" t="s">
        <v>26</v>
      </c>
      <c r="G170" s="6" t="s">
        <v>79</v>
      </c>
      <c r="H170" s="6">
        <v>10557</v>
      </c>
      <c r="I170" s="6">
        <v>4443</v>
      </c>
    </row>
    <row r="171" spans="1:9" hidden="1" x14ac:dyDescent="0.3">
      <c r="A171" s="8">
        <v>46312</v>
      </c>
      <c r="B171" s="5">
        <v>46311</v>
      </c>
      <c r="C171" s="5">
        <v>46326</v>
      </c>
      <c r="D171" s="6">
        <v>0</v>
      </c>
      <c r="E171" t="s">
        <v>17</v>
      </c>
    </row>
    <row r="172" spans="1:9" hidden="1" x14ac:dyDescent="0.3">
      <c r="A172" s="8">
        <v>46313</v>
      </c>
      <c r="B172" s="5">
        <v>46311</v>
      </c>
      <c r="C172" s="5">
        <v>46326</v>
      </c>
      <c r="D172" s="6">
        <v>0</v>
      </c>
      <c r="E172" t="s">
        <v>17</v>
      </c>
    </row>
    <row r="173" spans="1:9" hidden="1" x14ac:dyDescent="0.3">
      <c r="A173" s="8">
        <v>46314</v>
      </c>
      <c r="B173" s="5">
        <v>46311</v>
      </c>
      <c r="C173" s="5">
        <v>46326</v>
      </c>
      <c r="D173" s="6">
        <v>0</v>
      </c>
      <c r="E173" t="s">
        <v>17</v>
      </c>
    </row>
    <row r="174" spans="1:9" hidden="1" x14ac:dyDescent="0.3">
      <c r="A174" s="8">
        <v>46315</v>
      </c>
      <c r="B174" s="5">
        <v>46311</v>
      </c>
      <c r="C174" s="5">
        <v>46326</v>
      </c>
      <c r="D174" s="6">
        <v>0</v>
      </c>
      <c r="E174" t="s">
        <v>17</v>
      </c>
    </row>
    <row r="175" spans="1:9" hidden="1" x14ac:dyDescent="0.3">
      <c r="A175" s="8">
        <v>46316</v>
      </c>
      <c r="B175" s="5">
        <v>46311</v>
      </c>
      <c r="C175" s="5">
        <v>46326</v>
      </c>
      <c r="D175" s="6">
        <v>0</v>
      </c>
      <c r="E175" t="s">
        <v>17</v>
      </c>
    </row>
    <row r="176" spans="1:9" hidden="1" x14ac:dyDescent="0.3">
      <c r="A176" s="8">
        <v>46317</v>
      </c>
      <c r="B176" s="5">
        <v>46311</v>
      </c>
      <c r="C176" s="5">
        <v>46326</v>
      </c>
      <c r="D176" s="6">
        <v>0</v>
      </c>
      <c r="E176" t="s">
        <v>17</v>
      </c>
    </row>
    <row r="177" spans="1:9" hidden="1" x14ac:dyDescent="0.3">
      <c r="A177" s="8">
        <v>46318</v>
      </c>
      <c r="B177" s="5">
        <v>46311</v>
      </c>
      <c r="C177" s="5">
        <v>46326</v>
      </c>
      <c r="D177" s="6">
        <v>0</v>
      </c>
      <c r="E177" t="s">
        <v>17</v>
      </c>
    </row>
    <row r="178" spans="1:9" hidden="1" x14ac:dyDescent="0.3">
      <c r="A178" s="8">
        <v>46319</v>
      </c>
      <c r="B178" s="5">
        <v>46311</v>
      </c>
      <c r="C178" s="5">
        <v>46326</v>
      </c>
      <c r="D178" s="6">
        <v>0</v>
      </c>
      <c r="E178" t="s">
        <v>17</v>
      </c>
    </row>
    <row r="179" spans="1:9" hidden="1" x14ac:dyDescent="0.3">
      <c r="A179" s="8">
        <v>46320</v>
      </c>
      <c r="B179" s="5">
        <v>46311</v>
      </c>
      <c r="C179" s="5">
        <v>46326</v>
      </c>
      <c r="D179" s="6">
        <v>0</v>
      </c>
      <c r="E179" t="s">
        <v>17</v>
      </c>
    </row>
    <row r="180" spans="1:9" hidden="1" x14ac:dyDescent="0.3">
      <c r="A180" s="8">
        <v>46321</v>
      </c>
      <c r="B180" s="5">
        <v>46311</v>
      </c>
      <c r="C180" s="5">
        <v>46326</v>
      </c>
      <c r="D180" s="6">
        <v>0</v>
      </c>
      <c r="E180" t="s">
        <v>17</v>
      </c>
    </row>
    <row r="181" spans="1:9" hidden="1" x14ac:dyDescent="0.3">
      <c r="A181" s="8">
        <v>46322</v>
      </c>
      <c r="B181" s="5">
        <v>46311</v>
      </c>
      <c r="C181" s="5">
        <v>46326</v>
      </c>
      <c r="D181" s="6">
        <v>0</v>
      </c>
      <c r="E181" t="s">
        <v>17</v>
      </c>
    </row>
    <row r="182" spans="1:9" hidden="1" x14ac:dyDescent="0.3">
      <c r="A182" s="8">
        <v>46323</v>
      </c>
      <c r="B182" s="5">
        <v>46311</v>
      </c>
      <c r="C182" s="5">
        <v>46326</v>
      </c>
      <c r="D182" s="6">
        <v>0</v>
      </c>
      <c r="E182" t="s">
        <v>17</v>
      </c>
    </row>
    <row r="183" spans="1:9" hidden="1" x14ac:dyDescent="0.3">
      <c r="A183" s="8">
        <v>46324</v>
      </c>
      <c r="B183" s="5">
        <v>46311</v>
      </c>
      <c r="C183" s="5">
        <v>46326</v>
      </c>
      <c r="D183" s="6">
        <v>0</v>
      </c>
      <c r="E183" t="s">
        <v>17</v>
      </c>
    </row>
    <row r="184" spans="1:9" hidden="1" x14ac:dyDescent="0.3">
      <c r="A184" s="8">
        <v>46325</v>
      </c>
      <c r="B184" s="5">
        <v>46311</v>
      </c>
      <c r="C184" s="5">
        <v>46326</v>
      </c>
      <c r="D184" s="6">
        <v>0</v>
      </c>
      <c r="E184" t="s">
        <v>17</v>
      </c>
    </row>
    <row r="185" spans="1:9" hidden="1" x14ac:dyDescent="0.3">
      <c r="A185" s="8">
        <v>46326</v>
      </c>
      <c r="B185" s="5">
        <v>46311</v>
      </c>
      <c r="C185" s="5">
        <v>46326</v>
      </c>
      <c r="D185" s="6">
        <v>0</v>
      </c>
      <c r="E185" t="s">
        <v>17</v>
      </c>
    </row>
    <row r="186" spans="1:9" hidden="1" x14ac:dyDescent="0.3">
      <c r="A186" s="8">
        <v>46327</v>
      </c>
      <c r="B186" s="5">
        <v>46327</v>
      </c>
      <c r="C186" s="5">
        <v>46341</v>
      </c>
      <c r="D186" s="6">
        <v>1</v>
      </c>
      <c r="E186" t="s">
        <v>18</v>
      </c>
      <c r="F186" s="6" t="s">
        <v>26</v>
      </c>
      <c r="G186" s="6" t="s">
        <v>79</v>
      </c>
      <c r="H186" s="6">
        <v>10557</v>
      </c>
      <c r="I186" s="6">
        <v>4443</v>
      </c>
    </row>
    <row r="187" spans="1:9" hidden="1" x14ac:dyDescent="0.3">
      <c r="A187" s="8">
        <v>46328</v>
      </c>
      <c r="B187" s="5">
        <v>46327</v>
      </c>
      <c r="C187" s="5">
        <v>46341</v>
      </c>
      <c r="D187" s="6">
        <v>0</v>
      </c>
      <c r="E187" t="s">
        <v>18</v>
      </c>
    </row>
    <row r="188" spans="1:9" hidden="1" x14ac:dyDescent="0.3">
      <c r="A188" s="8">
        <v>46329</v>
      </c>
      <c r="B188" s="5">
        <v>46327</v>
      </c>
      <c r="C188" s="5">
        <v>46341</v>
      </c>
      <c r="D188" s="6">
        <v>0</v>
      </c>
      <c r="E188" t="s">
        <v>18</v>
      </c>
    </row>
    <row r="189" spans="1:9" hidden="1" x14ac:dyDescent="0.3">
      <c r="A189" s="8">
        <v>46330</v>
      </c>
      <c r="B189" s="5">
        <v>46327</v>
      </c>
      <c r="C189" s="5">
        <v>46341</v>
      </c>
      <c r="D189" s="6">
        <v>0</v>
      </c>
      <c r="E189" t="s">
        <v>18</v>
      </c>
    </row>
    <row r="190" spans="1:9" hidden="1" x14ac:dyDescent="0.3">
      <c r="A190" s="8">
        <v>46331</v>
      </c>
      <c r="B190" s="5">
        <v>46327</v>
      </c>
      <c r="C190" s="5">
        <v>46341</v>
      </c>
      <c r="D190" s="6">
        <v>0</v>
      </c>
      <c r="E190" t="s">
        <v>18</v>
      </c>
    </row>
    <row r="191" spans="1:9" hidden="1" x14ac:dyDescent="0.3">
      <c r="A191" s="8">
        <v>46332</v>
      </c>
      <c r="B191" s="5">
        <v>46327</v>
      </c>
      <c r="C191" s="5">
        <v>46341</v>
      </c>
      <c r="D191" s="6">
        <v>0</v>
      </c>
      <c r="E191" t="s">
        <v>18</v>
      </c>
    </row>
    <row r="192" spans="1:9" hidden="1" x14ac:dyDescent="0.3">
      <c r="A192" s="8">
        <v>46333</v>
      </c>
      <c r="B192" s="5">
        <v>46327</v>
      </c>
      <c r="C192" s="5">
        <v>46341</v>
      </c>
      <c r="D192" s="6">
        <v>0</v>
      </c>
      <c r="E192" t="s">
        <v>18</v>
      </c>
    </row>
    <row r="193" spans="1:9" hidden="1" x14ac:dyDescent="0.3">
      <c r="A193" s="8">
        <v>46334</v>
      </c>
      <c r="B193" s="5">
        <v>46327</v>
      </c>
      <c r="C193" s="5">
        <v>46341</v>
      </c>
      <c r="D193" s="6">
        <v>0</v>
      </c>
      <c r="E193" t="s">
        <v>18</v>
      </c>
    </row>
    <row r="194" spans="1:9" hidden="1" x14ac:dyDescent="0.3">
      <c r="A194" s="8">
        <v>46335</v>
      </c>
      <c r="B194" s="5">
        <v>46327</v>
      </c>
      <c r="C194" s="5">
        <v>46341</v>
      </c>
      <c r="D194" s="6">
        <v>0</v>
      </c>
      <c r="E194" t="s">
        <v>18</v>
      </c>
    </row>
    <row r="195" spans="1:9" hidden="1" x14ac:dyDescent="0.3">
      <c r="A195" s="8">
        <v>46336</v>
      </c>
      <c r="B195" s="5">
        <v>46327</v>
      </c>
      <c r="C195" s="5">
        <v>46341</v>
      </c>
      <c r="D195" s="6">
        <v>0</v>
      </c>
      <c r="E195" t="s">
        <v>18</v>
      </c>
    </row>
    <row r="196" spans="1:9" hidden="1" x14ac:dyDescent="0.3">
      <c r="A196" s="8">
        <v>46337</v>
      </c>
      <c r="B196" s="5">
        <v>46327</v>
      </c>
      <c r="C196" s="5">
        <v>46341</v>
      </c>
      <c r="D196" s="6">
        <v>0</v>
      </c>
      <c r="E196" t="s">
        <v>18</v>
      </c>
    </row>
    <row r="197" spans="1:9" hidden="1" x14ac:dyDescent="0.3">
      <c r="A197" s="8">
        <v>46338</v>
      </c>
      <c r="B197" s="5">
        <v>46327</v>
      </c>
      <c r="C197" s="5">
        <v>46341</v>
      </c>
      <c r="D197" s="6">
        <v>0</v>
      </c>
      <c r="E197" t="s">
        <v>18</v>
      </c>
    </row>
    <row r="198" spans="1:9" hidden="1" x14ac:dyDescent="0.3">
      <c r="A198" s="8">
        <v>46339</v>
      </c>
      <c r="B198" s="5">
        <v>46327</v>
      </c>
      <c r="C198" s="5">
        <v>46341</v>
      </c>
      <c r="D198" s="6">
        <v>0</v>
      </c>
      <c r="E198" t="s">
        <v>18</v>
      </c>
    </row>
    <row r="199" spans="1:9" hidden="1" x14ac:dyDescent="0.3">
      <c r="A199" s="8">
        <v>46340</v>
      </c>
      <c r="B199" s="5">
        <v>46327</v>
      </c>
      <c r="C199" s="5">
        <v>46341</v>
      </c>
      <c r="D199" s="6">
        <v>0</v>
      </c>
      <c r="E199" t="s">
        <v>18</v>
      </c>
    </row>
    <row r="200" spans="1:9" hidden="1" x14ac:dyDescent="0.3">
      <c r="A200" s="8">
        <v>46341</v>
      </c>
      <c r="B200" s="5">
        <v>46327</v>
      </c>
      <c r="C200" s="5">
        <v>46341</v>
      </c>
      <c r="D200" s="6">
        <v>0</v>
      </c>
      <c r="E200" t="s">
        <v>18</v>
      </c>
    </row>
    <row r="201" spans="1:9" hidden="1" x14ac:dyDescent="0.3">
      <c r="A201" s="8">
        <v>46342</v>
      </c>
      <c r="B201" s="5">
        <v>46342</v>
      </c>
      <c r="C201" s="5">
        <v>46356</v>
      </c>
      <c r="D201" s="6">
        <v>1</v>
      </c>
      <c r="E201" t="s">
        <v>19</v>
      </c>
      <c r="F201" s="6" t="s">
        <v>26</v>
      </c>
      <c r="G201" s="6" t="s">
        <v>79</v>
      </c>
      <c r="H201" s="6">
        <v>10557</v>
      </c>
      <c r="I201" s="6">
        <v>4443</v>
      </c>
    </row>
    <row r="202" spans="1:9" hidden="1" x14ac:dyDescent="0.3">
      <c r="A202" s="8">
        <v>46343</v>
      </c>
      <c r="B202" s="5">
        <v>46342</v>
      </c>
      <c r="C202" s="5">
        <v>46356</v>
      </c>
      <c r="D202" s="6">
        <v>0</v>
      </c>
      <c r="E202" t="s">
        <v>19</v>
      </c>
    </row>
    <row r="203" spans="1:9" hidden="1" x14ac:dyDescent="0.3">
      <c r="A203" s="8">
        <v>46344</v>
      </c>
      <c r="B203" s="5">
        <v>46342</v>
      </c>
      <c r="C203" s="5">
        <v>46356</v>
      </c>
      <c r="D203" s="6">
        <v>0</v>
      </c>
      <c r="E203" t="s">
        <v>19</v>
      </c>
    </row>
    <row r="204" spans="1:9" hidden="1" x14ac:dyDescent="0.3">
      <c r="A204" s="8">
        <v>46345</v>
      </c>
      <c r="B204" s="5">
        <v>46342</v>
      </c>
      <c r="C204" s="5">
        <v>46356</v>
      </c>
      <c r="D204" s="6">
        <v>0</v>
      </c>
      <c r="E204" t="s">
        <v>19</v>
      </c>
    </row>
    <row r="205" spans="1:9" hidden="1" x14ac:dyDescent="0.3">
      <c r="A205" s="8">
        <v>46346</v>
      </c>
      <c r="B205" s="5">
        <v>46342</v>
      </c>
      <c r="C205" s="5">
        <v>46356</v>
      </c>
      <c r="D205" s="6">
        <v>0</v>
      </c>
      <c r="E205" t="s">
        <v>19</v>
      </c>
    </row>
    <row r="206" spans="1:9" hidden="1" x14ac:dyDescent="0.3">
      <c r="A206" s="8">
        <v>46347</v>
      </c>
      <c r="B206" s="5">
        <v>46342</v>
      </c>
      <c r="C206" s="5">
        <v>46356</v>
      </c>
      <c r="D206" s="6">
        <v>0</v>
      </c>
      <c r="E206" t="s">
        <v>19</v>
      </c>
    </row>
    <row r="207" spans="1:9" hidden="1" x14ac:dyDescent="0.3">
      <c r="A207" s="8">
        <v>46348</v>
      </c>
      <c r="B207" s="5">
        <v>46342</v>
      </c>
      <c r="C207" s="5">
        <v>46356</v>
      </c>
      <c r="D207" s="6">
        <v>0</v>
      </c>
      <c r="E207" t="s">
        <v>19</v>
      </c>
    </row>
    <row r="208" spans="1:9" hidden="1" x14ac:dyDescent="0.3">
      <c r="A208" s="8">
        <v>46349</v>
      </c>
      <c r="B208" s="5">
        <v>46342</v>
      </c>
      <c r="C208" s="5">
        <v>46356</v>
      </c>
      <c r="D208" s="6">
        <v>0</v>
      </c>
      <c r="E208" t="s">
        <v>19</v>
      </c>
    </row>
    <row r="209" spans="1:9" hidden="1" x14ac:dyDescent="0.3">
      <c r="A209" s="8">
        <v>46350</v>
      </c>
      <c r="B209" s="5">
        <v>46342</v>
      </c>
      <c r="C209" s="5">
        <v>46356</v>
      </c>
      <c r="D209" s="6">
        <v>0</v>
      </c>
      <c r="E209" t="s">
        <v>19</v>
      </c>
    </row>
    <row r="210" spans="1:9" hidden="1" x14ac:dyDescent="0.3">
      <c r="A210" s="8">
        <v>46351</v>
      </c>
      <c r="B210" s="5">
        <v>46342</v>
      </c>
      <c r="C210" s="5">
        <v>46356</v>
      </c>
      <c r="D210" s="6">
        <v>0</v>
      </c>
      <c r="E210" t="s">
        <v>19</v>
      </c>
    </row>
    <row r="211" spans="1:9" hidden="1" x14ac:dyDescent="0.3">
      <c r="A211" s="8">
        <v>46352</v>
      </c>
      <c r="B211" s="5">
        <v>46342</v>
      </c>
      <c r="C211" s="5">
        <v>46356</v>
      </c>
      <c r="D211" s="6">
        <v>0</v>
      </c>
      <c r="E211" t="s">
        <v>19</v>
      </c>
    </row>
    <row r="212" spans="1:9" hidden="1" x14ac:dyDescent="0.3">
      <c r="A212" s="8">
        <v>46353</v>
      </c>
      <c r="B212" s="5">
        <v>46342</v>
      </c>
      <c r="C212" s="5">
        <v>46356</v>
      </c>
      <c r="D212" s="6">
        <v>0</v>
      </c>
      <c r="E212" t="s">
        <v>19</v>
      </c>
    </row>
    <row r="213" spans="1:9" hidden="1" x14ac:dyDescent="0.3">
      <c r="A213" s="8">
        <v>46354</v>
      </c>
      <c r="B213" s="5">
        <v>46342</v>
      </c>
      <c r="C213" s="5">
        <v>46356</v>
      </c>
      <c r="D213" s="6">
        <v>0</v>
      </c>
      <c r="E213" t="s">
        <v>19</v>
      </c>
    </row>
    <row r="214" spans="1:9" hidden="1" x14ac:dyDescent="0.3">
      <c r="A214" s="8">
        <v>46355</v>
      </c>
      <c r="B214" s="5">
        <v>46342</v>
      </c>
      <c r="C214" s="5">
        <v>46356</v>
      </c>
      <c r="D214" s="6">
        <v>0</v>
      </c>
      <c r="E214" t="s">
        <v>19</v>
      </c>
    </row>
    <row r="215" spans="1:9" hidden="1" x14ac:dyDescent="0.3">
      <c r="A215" s="8">
        <v>46356</v>
      </c>
      <c r="B215" s="5">
        <v>46342</v>
      </c>
      <c r="C215" s="5">
        <v>46356</v>
      </c>
      <c r="D215" s="6">
        <v>0</v>
      </c>
      <c r="E215" t="s">
        <v>19</v>
      </c>
    </row>
    <row r="216" spans="1:9" hidden="1" x14ac:dyDescent="0.3">
      <c r="A216" s="8">
        <v>46357</v>
      </c>
      <c r="B216" s="5">
        <v>46357</v>
      </c>
      <c r="C216" s="5">
        <v>46371</v>
      </c>
      <c r="D216" s="6">
        <v>1</v>
      </c>
      <c r="E216" t="s">
        <v>20</v>
      </c>
      <c r="F216" s="6" t="s">
        <v>26</v>
      </c>
      <c r="G216" s="6" t="s">
        <v>79</v>
      </c>
      <c r="H216" s="6">
        <v>10557</v>
      </c>
      <c r="I216" s="6">
        <v>4443</v>
      </c>
    </row>
    <row r="217" spans="1:9" hidden="1" x14ac:dyDescent="0.3">
      <c r="A217" s="8">
        <v>46358</v>
      </c>
      <c r="B217" s="5">
        <v>46357</v>
      </c>
      <c r="C217" s="5">
        <v>46371</v>
      </c>
      <c r="D217" s="6">
        <v>0</v>
      </c>
      <c r="E217" t="s">
        <v>20</v>
      </c>
    </row>
    <row r="218" spans="1:9" hidden="1" x14ac:dyDescent="0.3">
      <c r="A218" s="8">
        <v>46359</v>
      </c>
      <c r="B218" s="5">
        <v>46357</v>
      </c>
      <c r="C218" s="5">
        <v>46371</v>
      </c>
      <c r="D218" s="6">
        <v>0</v>
      </c>
      <c r="E218" t="s">
        <v>20</v>
      </c>
    </row>
    <row r="219" spans="1:9" hidden="1" x14ac:dyDescent="0.3">
      <c r="A219" s="8">
        <v>46360</v>
      </c>
      <c r="B219" s="5">
        <v>46357</v>
      </c>
      <c r="C219" s="5">
        <v>46371</v>
      </c>
      <c r="D219" s="6">
        <v>0</v>
      </c>
      <c r="E219" t="s">
        <v>20</v>
      </c>
    </row>
    <row r="220" spans="1:9" hidden="1" x14ac:dyDescent="0.3">
      <c r="A220" s="8">
        <v>46361</v>
      </c>
      <c r="B220" s="5">
        <v>46357</v>
      </c>
      <c r="C220" s="5">
        <v>46371</v>
      </c>
      <c r="D220" s="6">
        <v>0</v>
      </c>
      <c r="E220" t="s">
        <v>20</v>
      </c>
    </row>
    <row r="221" spans="1:9" hidden="1" x14ac:dyDescent="0.3">
      <c r="A221" s="8">
        <v>46362</v>
      </c>
      <c r="B221" s="5">
        <v>46357</v>
      </c>
      <c r="C221" s="5">
        <v>46371</v>
      </c>
      <c r="D221" s="6">
        <v>0</v>
      </c>
      <c r="E221" t="s">
        <v>20</v>
      </c>
    </row>
    <row r="222" spans="1:9" hidden="1" x14ac:dyDescent="0.3">
      <c r="A222" s="8">
        <v>46363</v>
      </c>
      <c r="B222" s="5">
        <v>46357</v>
      </c>
      <c r="C222" s="5">
        <v>46371</v>
      </c>
      <c r="D222" s="6">
        <v>0</v>
      </c>
      <c r="E222" t="s">
        <v>20</v>
      </c>
    </row>
    <row r="223" spans="1:9" hidden="1" x14ac:dyDescent="0.3">
      <c r="A223" s="8">
        <v>46364</v>
      </c>
      <c r="B223" s="5">
        <v>46357</v>
      </c>
      <c r="C223" s="5">
        <v>46371</v>
      </c>
      <c r="D223" s="6">
        <v>0</v>
      </c>
      <c r="E223" t="s">
        <v>20</v>
      </c>
    </row>
    <row r="224" spans="1:9" hidden="1" x14ac:dyDescent="0.3">
      <c r="A224" s="8">
        <v>46365</v>
      </c>
      <c r="B224" s="5">
        <v>46357</v>
      </c>
      <c r="C224" s="5">
        <v>46371</v>
      </c>
      <c r="D224" s="6">
        <v>0</v>
      </c>
      <c r="E224" t="s">
        <v>20</v>
      </c>
    </row>
    <row r="225" spans="1:10" hidden="1" x14ac:dyDescent="0.3">
      <c r="A225" s="8">
        <v>46366</v>
      </c>
      <c r="B225" s="5">
        <v>46357</v>
      </c>
      <c r="C225" s="5">
        <v>46371</v>
      </c>
      <c r="D225" s="6">
        <v>0</v>
      </c>
      <c r="E225" t="s">
        <v>20</v>
      </c>
    </row>
    <row r="226" spans="1:10" hidden="1" x14ac:dyDescent="0.3">
      <c r="A226" s="8">
        <v>46367</v>
      </c>
      <c r="B226" s="5">
        <v>46357</v>
      </c>
      <c r="C226" s="5">
        <v>46371</v>
      </c>
      <c r="D226" s="6">
        <v>0</v>
      </c>
      <c r="E226" t="s">
        <v>20</v>
      </c>
    </row>
    <row r="227" spans="1:10" hidden="1" x14ac:dyDescent="0.3">
      <c r="A227" s="8">
        <v>46368</v>
      </c>
      <c r="B227" s="5">
        <v>46357</v>
      </c>
      <c r="C227" s="5">
        <v>46371</v>
      </c>
      <c r="D227" s="6">
        <v>0</v>
      </c>
      <c r="E227" t="s">
        <v>20</v>
      </c>
    </row>
    <row r="228" spans="1:10" hidden="1" x14ac:dyDescent="0.3">
      <c r="A228" s="8">
        <v>46369</v>
      </c>
      <c r="B228" s="5">
        <v>46357</v>
      </c>
      <c r="C228" s="5">
        <v>46371</v>
      </c>
      <c r="D228" s="6">
        <v>0</v>
      </c>
      <c r="E228" t="s">
        <v>20</v>
      </c>
    </row>
    <row r="229" spans="1:10" hidden="1" x14ac:dyDescent="0.3">
      <c r="A229" s="8">
        <v>46370</v>
      </c>
      <c r="B229" s="5">
        <v>46357</v>
      </c>
      <c r="C229" s="5">
        <v>46371</v>
      </c>
      <c r="D229" s="6">
        <v>0</v>
      </c>
      <c r="E229" t="s">
        <v>20</v>
      </c>
    </row>
    <row r="230" spans="1:10" hidden="1" x14ac:dyDescent="0.3">
      <c r="A230" s="8">
        <v>46371</v>
      </c>
      <c r="B230" s="5">
        <v>46357</v>
      </c>
      <c r="C230" s="5">
        <v>46371</v>
      </c>
      <c r="D230" s="6">
        <v>0</v>
      </c>
      <c r="E230" t="s">
        <v>20</v>
      </c>
    </row>
    <row r="231" spans="1:10" hidden="1" x14ac:dyDescent="0.3">
      <c r="A231" s="8">
        <v>46372</v>
      </c>
      <c r="B231" s="5">
        <v>46372</v>
      </c>
      <c r="C231" s="5">
        <v>46387</v>
      </c>
      <c r="D231" s="6">
        <v>1</v>
      </c>
      <c r="E231" t="s">
        <v>21</v>
      </c>
      <c r="F231" s="6" t="s">
        <v>26</v>
      </c>
      <c r="G231" s="6" t="s">
        <v>79</v>
      </c>
      <c r="H231" s="6">
        <v>10557</v>
      </c>
      <c r="I231" s="6">
        <v>4443</v>
      </c>
    </row>
    <row r="232" spans="1:10" hidden="1" x14ac:dyDescent="0.3">
      <c r="A232" s="8">
        <v>46373</v>
      </c>
      <c r="B232" s="5">
        <v>46372</v>
      </c>
      <c r="C232" s="5">
        <v>46387</v>
      </c>
      <c r="D232" s="6">
        <v>0</v>
      </c>
      <c r="E232" t="s">
        <v>21</v>
      </c>
    </row>
    <row r="233" spans="1:10" hidden="1" x14ac:dyDescent="0.3">
      <c r="A233" s="8">
        <v>46374</v>
      </c>
      <c r="B233" s="5">
        <v>46372</v>
      </c>
      <c r="C233" s="5">
        <v>46387</v>
      </c>
      <c r="D233" s="6">
        <v>0</v>
      </c>
      <c r="E233" t="s">
        <v>21</v>
      </c>
    </row>
    <row r="234" spans="1:10" hidden="1" x14ac:dyDescent="0.3">
      <c r="A234" s="8">
        <v>46375</v>
      </c>
      <c r="B234" s="5">
        <v>46372</v>
      </c>
      <c r="C234" s="5">
        <v>46387</v>
      </c>
      <c r="D234" s="6">
        <v>0</v>
      </c>
      <c r="E234" t="s">
        <v>21</v>
      </c>
    </row>
    <row r="235" spans="1:10" hidden="1" x14ac:dyDescent="0.3">
      <c r="A235" s="8">
        <v>46376</v>
      </c>
      <c r="B235" s="5">
        <v>46376</v>
      </c>
      <c r="C235" s="5">
        <v>46376</v>
      </c>
      <c r="D235" s="6">
        <v>1</v>
      </c>
      <c r="E235" t="s">
        <v>55</v>
      </c>
      <c r="F235" s="6" t="s">
        <v>26</v>
      </c>
      <c r="G235" s="6" t="s">
        <v>79</v>
      </c>
      <c r="H235" s="6"/>
      <c r="I235" s="6"/>
      <c r="J235">
        <v>15000</v>
      </c>
    </row>
    <row r="236" spans="1:10" hidden="1" x14ac:dyDescent="0.3">
      <c r="A236" s="8">
        <v>46377</v>
      </c>
      <c r="B236" s="5">
        <v>46372</v>
      </c>
      <c r="C236" s="5">
        <v>46387</v>
      </c>
      <c r="D236" s="6">
        <v>0</v>
      </c>
      <c r="E236" t="s">
        <v>21</v>
      </c>
    </row>
    <row r="237" spans="1:10" hidden="1" x14ac:dyDescent="0.3">
      <c r="A237" s="8">
        <v>46378</v>
      </c>
      <c r="B237" s="5">
        <v>46372</v>
      </c>
      <c r="C237" s="5">
        <v>46387</v>
      </c>
      <c r="D237" s="6">
        <v>0</v>
      </c>
      <c r="E237" t="s">
        <v>21</v>
      </c>
    </row>
    <row r="238" spans="1:10" hidden="1" x14ac:dyDescent="0.3">
      <c r="A238" s="8">
        <v>46379</v>
      </c>
      <c r="B238" s="5">
        <v>46372</v>
      </c>
      <c r="C238" s="5">
        <v>46387</v>
      </c>
      <c r="D238" s="6">
        <v>0</v>
      </c>
      <c r="E238" t="s">
        <v>21</v>
      </c>
    </row>
    <row r="239" spans="1:10" hidden="1" x14ac:dyDescent="0.3">
      <c r="A239" s="8">
        <v>46380</v>
      </c>
      <c r="B239" s="5">
        <v>46372</v>
      </c>
      <c r="C239" s="5">
        <v>46387</v>
      </c>
      <c r="D239" s="6">
        <v>0</v>
      </c>
      <c r="E239" t="s">
        <v>21</v>
      </c>
    </row>
    <row r="240" spans="1:10" hidden="1" x14ac:dyDescent="0.3">
      <c r="A240" s="8">
        <v>46381</v>
      </c>
      <c r="B240" s="5">
        <v>46372</v>
      </c>
      <c r="C240" s="5">
        <v>46387</v>
      </c>
      <c r="D240" s="6">
        <v>0</v>
      </c>
      <c r="E240" t="s">
        <v>21</v>
      </c>
    </row>
    <row r="241" spans="1:5" hidden="1" x14ac:dyDescent="0.3">
      <c r="A241" s="8">
        <v>46382</v>
      </c>
      <c r="B241" s="5">
        <v>46372</v>
      </c>
      <c r="C241" s="5">
        <v>46387</v>
      </c>
      <c r="D241" s="6">
        <v>0</v>
      </c>
      <c r="E241" t="s">
        <v>21</v>
      </c>
    </row>
    <row r="242" spans="1:5" hidden="1" x14ac:dyDescent="0.3">
      <c r="A242" s="8">
        <v>46383</v>
      </c>
      <c r="B242" s="5">
        <v>46372</v>
      </c>
      <c r="C242" s="5">
        <v>46387</v>
      </c>
      <c r="D242" s="6">
        <v>0</v>
      </c>
      <c r="E242" t="s">
        <v>21</v>
      </c>
    </row>
    <row r="243" spans="1:5" hidden="1" x14ac:dyDescent="0.3">
      <c r="A243" s="8">
        <v>46384</v>
      </c>
      <c r="B243" s="5">
        <v>46372</v>
      </c>
      <c r="C243" s="5">
        <v>46387</v>
      </c>
      <c r="D243" s="6">
        <v>0</v>
      </c>
      <c r="E243" t="s">
        <v>21</v>
      </c>
    </row>
    <row r="244" spans="1:5" hidden="1" x14ac:dyDescent="0.3">
      <c r="A244" s="8">
        <v>46385</v>
      </c>
      <c r="B244" s="5">
        <v>46372</v>
      </c>
      <c r="C244" s="5">
        <v>46387</v>
      </c>
      <c r="D244" s="6">
        <v>0</v>
      </c>
      <c r="E244" t="s">
        <v>21</v>
      </c>
    </row>
    <row r="245" spans="1:5" hidden="1" x14ac:dyDescent="0.3">
      <c r="A245" s="8">
        <v>46386</v>
      </c>
      <c r="B245" s="5">
        <v>46372</v>
      </c>
      <c r="C245" s="5">
        <v>46387</v>
      </c>
      <c r="D245" s="6">
        <v>0</v>
      </c>
      <c r="E245" t="s">
        <v>21</v>
      </c>
    </row>
    <row r="246" spans="1:5" hidden="1" x14ac:dyDescent="0.3">
      <c r="A246" s="8">
        <v>46387</v>
      </c>
      <c r="B246" s="5">
        <v>46372</v>
      </c>
      <c r="C246" s="5">
        <v>46387</v>
      </c>
      <c r="D246" s="6">
        <v>0</v>
      </c>
      <c r="E246" t="s">
        <v>21</v>
      </c>
    </row>
    <row r="247" spans="1:5" x14ac:dyDescent="0.3">
      <c r="A247" s="8"/>
    </row>
    <row r="248" spans="1:5" x14ac:dyDescent="0.3">
      <c r="A248" s="8"/>
    </row>
    <row r="249" spans="1:5" x14ac:dyDescent="0.3">
      <c r="A249" s="8"/>
    </row>
    <row r="250" spans="1:5" x14ac:dyDescent="0.3">
      <c r="A250" s="8"/>
    </row>
    <row r="251" spans="1:5" x14ac:dyDescent="0.3">
      <c r="A251" s="8"/>
    </row>
    <row r="252" spans="1:5" x14ac:dyDescent="0.3">
      <c r="A252" s="8"/>
    </row>
    <row r="253" spans="1:5" x14ac:dyDescent="0.3">
      <c r="A253" s="8"/>
    </row>
    <row r="254" spans="1:5" x14ac:dyDescent="0.3">
      <c r="A254" s="8"/>
    </row>
    <row r="255" spans="1:5" x14ac:dyDescent="0.3">
      <c r="A255" s="8"/>
    </row>
    <row r="256" spans="1:5" x14ac:dyDescent="0.3">
      <c r="A256" s="8"/>
    </row>
    <row r="257" spans="1:1" x14ac:dyDescent="0.3">
      <c r="A257" s="8"/>
    </row>
    <row r="258" spans="1:1" x14ac:dyDescent="0.3">
      <c r="A258" s="8"/>
    </row>
    <row r="259" spans="1:1" x14ac:dyDescent="0.3">
      <c r="A259" s="8"/>
    </row>
    <row r="260" spans="1:1" x14ac:dyDescent="0.3">
      <c r="A260" s="8"/>
    </row>
    <row r="261" spans="1:1" x14ac:dyDescent="0.3">
      <c r="A261" s="8"/>
    </row>
    <row r="262" spans="1:1" x14ac:dyDescent="0.3">
      <c r="A262" s="8"/>
    </row>
    <row r="263" spans="1:1" x14ac:dyDescent="0.3">
      <c r="A263" s="8"/>
    </row>
    <row r="264" spans="1:1" x14ac:dyDescent="0.3">
      <c r="A264" s="8"/>
    </row>
    <row r="265" spans="1:1" x14ac:dyDescent="0.3">
      <c r="A265" s="8"/>
    </row>
    <row r="266" spans="1:1" x14ac:dyDescent="0.3">
      <c r="A266" s="8"/>
    </row>
    <row r="267" spans="1:1" x14ac:dyDescent="0.3">
      <c r="A267" s="8"/>
    </row>
    <row r="268" spans="1:1" x14ac:dyDescent="0.3">
      <c r="A268" s="8"/>
    </row>
    <row r="269" spans="1:1" x14ac:dyDescent="0.3">
      <c r="A269" s="8"/>
    </row>
    <row r="270" spans="1:1" x14ac:dyDescent="0.3">
      <c r="A270" s="8"/>
    </row>
    <row r="271" spans="1:1" x14ac:dyDescent="0.3">
      <c r="A271" s="8"/>
    </row>
    <row r="272" spans="1:1" x14ac:dyDescent="0.3">
      <c r="A272" s="8"/>
    </row>
    <row r="273" spans="1:1" x14ac:dyDescent="0.3">
      <c r="A273" s="8"/>
    </row>
    <row r="274" spans="1:1" x14ac:dyDescent="0.3">
      <c r="A274" s="8"/>
    </row>
    <row r="275" spans="1:1" x14ac:dyDescent="0.3">
      <c r="A275" s="8"/>
    </row>
    <row r="276" spans="1:1" x14ac:dyDescent="0.3">
      <c r="A276" s="8"/>
    </row>
    <row r="277" spans="1:1" x14ac:dyDescent="0.3">
      <c r="A277" s="8"/>
    </row>
    <row r="278" spans="1:1" x14ac:dyDescent="0.3">
      <c r="A278" s="8"/>
    </row>
    <row r="279" spans="1:1" x14ac:dyDescent="0.3">
      <c r="A279" s="8"/>
    </row>
    <row r="280" spans="1:1" x14ac:dyDescent="0.3">
      <c r="A280" s="8"/>
    </row>
    <row r="281" spans="1:1" x14ac:dyDescent="0.3">
      <c r="A281" s="8"/>
    </row>
    <row r="282" spans="1:1" x14ac:dyDescent="0.3">
      <c r="A282" s="8"/>
    </row>
    <row r="283" spans="1:1" x14ac:dyDescent="0.3">
      <c r="A283" s="8"/>
    </row>
    <row r="284" spans="1:1" x14ac:dyDescent="0.3">
      <c r="A284" s="8"/>
    </row>
    <row r="285" spans="1:1" x14ac:dyDescent="0.3">
      <c r="A285" s="8"/>
    </row>
    <row r="286" spans="1:1" x14ac:dyDescent="0.3">
      <c r="A286" s="8"/>
    </row>
    <row r="287" spans="1:1" x14ac:dyDescent="0.3">
      <c r="A287" s="8"/>
    </row>
    <row r="288" spans="1:1" x14ac:dyDescent="0.3">
      <c r="A288" s="8"/>
    </row>
    <row r="289" spans="1:1" x14ac:dyDescent="0.3">
      <c r="A289" s="8"/>
    </row>
    <row r="290" spans="1:1" x14ac:dyDescent="0.3">
      <c r="A290" s="8"/>
    </row>
    <row r="291" spans="1:1" x14ac:dyDescent="0.3">
      <c r="A291" s="8"/>
    </row>
    <row r="292" spans="1:1" x14ac:dyDescent="0.3">
      <c r="A292" s="8"/>
    </row>
    <row r="293" spans="1:1" x14ac:dyDescent="0.3">
      <c r="A293" s="8"/>
    </row>
    <row r="294" spans="1:1" x14ac:dyDescent="0.3">
      <c r="A294" s="8"/>
    </row>
    <row r="295" spans="1:1" x14ac:dyDescent="0.3">
      <c r="A295" s="8"/>
    </row>
    <row r="296" spans="1:1" x14ac:dyDescent="0.3">
      <c r="A296" s="8"/>
    </row>
    <row r="297" spans="1:1" x14ac:dyDescent="0.3">
      <c r="A297" s="8"/>
    </row>
    <row r="298" spans="1:1" x14ac:dyDescent="0.3">
      <c r="A298" s="8"/>
    </row>
    <row r="299" spans="1:1" x14ac:dyDescent="0.3">
      <c r="A299" s="8"/>
    </row>
    <row r="300" spans="1:1" x14ac:dyDescent="0.3">
      <c r="A300" s="8"/>
    </row>
    <row r="301" spans="1:1" x14ac:dyDescent="0.3">
      <c r="A301" s="8"/>
    </row>
    <row r="302" spans="1:1" x14ac:dyDescent="0.3">
      <c r="A302" s="8"/>
    </row>
    <row r="303" spans="1:1" x14ac:dyDescent="0.3">
      <c r="A303" s="8"/>
    </row>
    <row r="304" spans="1:1" x14ac:dyDescent="0.3">
      <c r="A304" s="8"/>
    </row>
    <row r="305" spans="1:1" x14ac:dyDescent="0.3">
      <c r="A305" s="8"/>
    </row>
    <row r="306" spans="1:1" x14ac:dyDescent="0.3">
      <c r="A306" s="8"/>
    </row>
    <row r="307" spans="1:1" x14ac:dyDescent="0.3">
      <c r="A307" s="8"/>
    </row>
    <row r="308" spans="1:1" x14ac:dyDescent="0.3">
      <c r="A308" s="8"/>
    </row>
    <row r="309" spans="1:1" x14ac:dyDescent="0.3">
      <c r="A309" s="8"/>
    </row>
    <row r="310" spans="1:1" x14ac:dyDescent="0.3">
      <c r="A310" s="8"/>
    </row>
    <row r="311" spans="1:1" x14ac:dyDescent="0.3">
      <c r="A311" s="8"/>
    </row>
    <row r="312" spans="1:1" x14ac:dyDescent="0.3">
      <c r="A312" s="8"/>
    </row>
    <row r="313" spans="1:1" x14ac:dyDescent="0.3">
      <c r="A313" s="8"/>
    </row>
    <row r="314" spans="1:1" x14ac:dyDescent="0.3">
      <c r="A314" s="8"/>
    </row>
    <row r="315" spans="1:1" x14ac:dyDescent="0.3">
      <c r="A315" s="8"/>
    </row>
    <row r="316" spans="1:1" x14ac:dyDescent="0.3">
      <c r="A316" s="8"/>
    </row>
    <row r="317" spans="1:1" x14ac:dyDescent="0.3">
      <c r="A317" s="8"/>
    </row>
    <row r="318" spans="1:1" x14ac:dyDescent="0.3">
      <c r="A318" s="8"/>
    </row>
    <row r="319" spans="1:1" x14ac:dyDescent="0.3">
      <c r="A319" s="8"/>
    </row>
    <row r="320" spans="1:1" x14ac:dyDescent="0.3">
      <c r="A320" s="8"/>
    </row>
    <row r="321" spans="1:1" x14ac:dyDescent="0.3">
      <c r="A321" s="8"/>
    </row>
    <row r="322" spans="1:1" x14ac:dyDescent="0.3">
      <c r="A322" s="8"/>
    </row>
    <row r="323" spans="1:1" x14ac:dyDescent="0.3">
      <c r="A323" s="8"/>
    </row>
    <row r="324" spans="1:1" x14ac:dyDescent="0.3">
      <c r="A324" s="8"/>
    </row>
    <row r="325" spans="1:1" x14ac:dyDescent="0.3">
      <c r="A325" s="8"/>
    </row>
    <row r="326" spans="1:1" x14ac:dyDescent="0.3">
      <c r="A326" s="8"/>
    </row>
    <row r="327" spans="1:1" x14ac:dyDescent="0.3">
      <c r="A327" s="8"/>
    </row>
    <row r="328" spans="1:1" x14ac:dyDescent="0.3">
      <c r="A328" s="8"/>
    </row>
    <row r="329" spans="1:1" x14ac:dyDescent="0.3">
      <c r="A329" s="8"/>
    </row>
    <row r="330" spans="1:1" x14ac:dyDescent="0.3">
      <c r="A330" s="8"/>
    </row>
    <row r="331" spans="1:1" x14ac:dyDescent="0.3">
      <c r="A331" s="8"/>
    </row>
    <row r="332" spans="1:1" x14ac:dyDescent="0.3">
      <c r="A332" s="8"/>
    </row>
    <row r="333" spans="1:1" x14ac:dyDescent="0.3">
      <c r="A333" s="8"/>
    </row>
    <row r="334" spans="1:1" x14ac:dyDescent="0.3">
      <c r="A334" s="8"/>
    </row>
    <row r="335" spans="1:1" x14ac:dyDescent="0.3">
      <c r="A335" s="8"/>
    </row>
    <row r="336" spans="1:1" x14ac:dyDescent="0.3">
      <c r="A336" s="8"/>
    </row>
    <row r="337" spans="1:1" x14ac:dyDescent="0.3">
      <c r="A337" s="8"/>
    </row>
    <row r="338" spans="1:1" x14ac:dyDescent="0.3">
      <c r="A338" s="8"/>
    </row>
    <row r="339" spans="1:1" x14ac:dyDescent="0.3">
      <c r="A339" s="8"/>
    </row>
    <row r="340" spans="1:1" x14ac:dyDescent="0.3">
      <c r="A340" s="8"/>
    </row>
    <row r="341" spans="1:1" x14ac:dyDescent="0.3">
      <c r="A341" s="8"/>
    </row>
    <row r="342" spans="1:1" x14ac:dyDescent="0.3">
      <c r="A342" s="8"/>
    </row>
    <row r="343" spans="1:1" x14ac:dyDescent="0.3">
      <c r="A343" s="8"/>
    </row>
    <row r="344" spans="1:1" x14ac:dyDescent="0.3">
      <c r="A344" s="8"/>
    </row>
    <row r="345" spans="1:1" x14ac:dyDescent="0.3">
      <c r="A345" s="8"/>
    </row>
    <row r="346" spans="1:1" x14ac:dyDescent="0.3">
      <c r="A346" s="8"/>
    </row>
    <row r="347" spans="1:1" x14ac:dyDescent="0.3">
      <c r="A347" s="8"/>
    </row>
    <row r="348" spans="1:1" x14ac:dyDescent="0.3">
      <c r="A348" s="8"/>
    </row>
    <row r="349" spans="1:1" x14ac:dyDescent="0.3">
      <c r="A349" s="8"/>
    </row>
    <row r="350" spans="1:1" x14ac:dyDescent="0.3">
      <c r="A350" s="8"/>
    </row>
    <row r="351" spans="1:1" x14ac:dyDescent="0.3">
      <c r="A351" s="8"/>
    </row>
    <row r="352" spans="1:1" x14ac:dyDescent="0.3">
      <c r="A352" s="8"/>
    </row>
    <row r="353" spans="1:1" x14ac:dyDescent="0.3">
      <c r="A353" s="8"/>
    </row>
    <row r="354" spans="1:1" x14ac:dyDescent="0.3">
      <c r="A354" s="8"/>
    </row>
    <row r="355" spans="1:1" x14ac:dyDescent="0.3">
      <c r="A355" s="8"/>
    </row>
    <row r="356" spans="1:1" x14ac:dyDescent="0.3">
      <c r="A356" s="8"/>
    </row>
    <row r="357" spans="1:1" x14ac:dyDescent="0.3">
      <c r="A357" s="8"/>
    </row>
  </sheetData>
  <conditionalFormatting sqref="A2:A247">
    <cfRule type="expression" dxfId="7" priority="1">
      <formula>TODAY() = A2</formula>
    </cfRule>
    <cfRule type="expression" dxfId="6" priority="2">
      <formula>WEEKDAY(A2)=1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FEE3-8B59-4E7D-8894-AB41DB3DD6B4}">
  <sheetPr codeName="Hoja3"/>
  <dimension ref="A1:Y247"/>
  <sheetViews>
    <sheetView workbookViewId="0">
      <pane xSplit="7" ySplit="1" topLeftCell="H25" activePane="bottomRight" state="frozen"/>
      <selection pane="topRight" activeCell="H1" sqref="H1"/>
      <selection pane="bottomLeft" activeCell="A2" sqref="A2"/>
      <selection pane="bottomRight" activeCell="P27" sqref="P27"/>
    </sheetView>
  </sheetViews>
  <sheetFormatPr baseColWidth="10" defaultRowHeight="14.4" x14ac:dyDescent="0.3"/>
  <cols>
    <col min="1" max="3" width="10.33203125" bestFit="1" customWidth="1"/>
    <col min="4" max="4" width="6.77734375" customWidth="1"/>
    <col min="5" max="5" width="5.88671875" bestFit="1" customWidth="1"/>
    <col min="6" max="6" width="6.44140625" customWidth="1"/>
    <col min="7" max="7" width="10" bestFit="1" customWidth="1"/>
    <col min="8" max="8" width="6" bestFit="1" customWidth="1"/>
    <col min="9" max="13" width="4" bestFit="1" customWidth="1"/>
    <col min="14" max="14" width="5" bestFit="1" customWidth="1"/>
    <col min="15" max="16" width="8" bestFit="1" customWidth="1"/>
    <col min="17" max="19" width="3.5546875" bestFit="1" customWidth="1"/>
    <col min="20" max="20" width="4" bestFit="1" customWidth="1"/>
  </cols>
  <sheetData>
    <row r="1" spans="1:25" ht="64.8" x14ac:dyDescent="0.3">
      <c r="A1" s="2" t="s">
        <v>5</v>
      </c>
      <c r="B1" s="2" t="s">
        <v>58</v>
      </c>
      <c r="C1" s="2" t="s">
        <v>51</v>
      </c>
      <c r="D1" s="2" t="s">
        <v>56</v>
      </c>
      <c r="E1" s="2" t="s">
        <v>22</v>
      </c>
      <c r="F1" s="2" t="s">
        <v>25</v>
      </c>
      <c r="G1" s="2" t="s">
        <v>49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57</v>
      </c>
      <c r="P1" s="3" t="s">
        <v>41</v>
      </c>
      <c r="Q1" s="3" t="s">
        <v>43</v>
      </c>
      <c r="R1" s="3" t="s">
        <v>44</v>
      </c>
      <c r="S1" s="3" t="s">
        <v>45</v>
      </c>
      <c r="T1" s="3" t="s">
        <v>46</v>
      </c>
    </row>
    <row r="2" spans="1:25" x14ac:dyDescent="0.3">
      <c r="A2" s="8">
        <v>46143</v>
      </c>
      <c r="B2" s="5">
        <v>46143</v>
      </c>
      <c r="C2" s="5">
        <v>46157</v>
      </c>
      <c r="D2" s="6">
        <v>1</v>
      </c>
      <c r="E2" t="s">
        <v>6</v>
      </c>
      <c r="F2" s="2" t="s">
        <v>34</v>
      </c>
      <c r="G2" s="2" t="s">
        <v>50</v>
      </c>
      <c r="H2">
        <v>0</v>
      </c>
      <c r="N2">
        <f>231+283</f>
        <v>514</v>
      </c>
      <c r="O2">
        <f>408.76+868.91</f>
        <v>1277.67</v>
      </c>
      <c r="P2">
        <v>4228.1799999999994</v>
      </c>
      <c r="R2">
        <v>70</v>
      </c>
      <c r="S2">
        <v>70</v>
      </c>
      <c r="Y2">
        <f>SUM(Gasto_real[[#This Row],[Transporte]:[U2B Premium]])</f>
        <v>6159.8499999999995</v>
      </c>
    </row>
    <row r="3" spans="1:25" x14ac:dyDescent="0.3">
      <c r="A3" s="8">
        <v>46144</v>
      </c>
      <c r="B3" s="5">
        <v>46143</v>
      </c>
      <c r="C3" s="5">
        <v>46157</v>
      </c>
      <c r="D3" s="6">
        <v>0</v>
      </c>
      <c r="E3" t="s">
        <v>6</v>
      </c>
      <c r="F3" s="2" t="s">
        <v>34</v>
      </c>
      <c r="G3" s="2" t="s">
        <v>50</v>
      </c>
      <c r="H3">
        <f>16.6+9.9+8.5+48.58</f>
        <v>83.58</v>
      </c>
      <c r="P3">
        <v>2000</v>
      </c>
      <c r="Y3">
        <f>SUM(Gasto_real[[#This Row],[Transporte]:[U2B Premium]])</f>
        <v>2083.58</v>
      </c>
    </row>
    <row r="4" spans="1:25" x14ac:dyDescent="0.3">
      <c r="A4" s="8">
        <v>46145</v>
      </c>
      <c r="B4" s="5">
        <v>46143</v>
      </c>
      <c r="C4" s="5">
        <v>46157</v>
      </c>
      <c r="D4" s="6">
        <v>0</v>
      </c>
      <c r="E4" t="s">
        <v>6</v>
      </c>
      <c r="F4" s="2" t="s">
        <v>34</v>
      </c>
      <c r="G4" s="2" t="s">
        <v>50</v>
      </c>
      <c r="Y4">
        <f>SUM(Gasto_real[[#This Row],[Transporte]:[U2B Premium]])</f>
        <v>0</v>
      </c>
    </row>
    <row r="5" spans="1:25" x14ac:dyDescent="0.3">
      <c r="A5" s="8">
        <v>46146</v>
      </c>
      <c r="B5" s="5">
        <v>46143</v>
      </c>
      <c r="C5" s="5">
        <v>46157</v>
      </c>
      <c r="D5" s="6">
        <v>0</v>
      </c>
      <c r="E5" t="s">
        <v>6</v>
      </c>
      <c r="F5" s="2" t="s">
        <v>34</v>
      </c>
      <c r="G5" s="2" t="s">
        <v>50</v>
      </c>
      <c r="H5">
        <f>16.6+9.9+8.5+69</f>
        <v>104</v>
      </c>
      <c r="Y5">
        <f>SUM(Gasto_real[[#This Row],[Transporte]:[U2B Premium]])</f>
        <v>104</v>
      </c>
    </row>
    <row r="6" spans="1:25" x14ac:dyDescent="0.3">
      <c r="A6" s="8">
        <v>46147</v>
      </c>
      <c r="B6" s="5">
        <v>46143</v>
      </c>
      <c r="C6" s="5">
        <v>46157</v>
      </c>
      <c r="D6" s="6">
        <v>0</v>
      </c>
      <c r="E6" t="s">
        <v>6</v>
      </c>
      <c r="F6" s="2" t="s">
        <v>34</v>
      </c>
      <c r="G6" s="2" t="s">
        <v>50</v>
      </c>
      <c r="H6">
        <f>16.6+9.9+8.5+47.82</f>
        <v>82.82</v>
      </c>
      <c r="Y6">
        <f>SUM(Gasto_real[[#This Row],[Transporte]:[U2B Premium]])</f>
        <v>82.82</v>
      </c>
    </row>
    <row r="7" spans="1:25" x14ac:dyDescent="0.3">
      <c r="A7" s="8">
        <v>46148</v>
      </c>
      <c r="B7" s="5">
        <v>46143</v>
      </c>
      <c r="C7" s="5">
        <v>46157</v>
      </c>
      <c r="D7" s="6">
        <v>0</v>
      </c>
      <c r="E7" t="s">
        <v>6</v>
      </c>
      <c r="F7" s="2" t="s">
        <v>34</v>
      </c>
      <c r="G7" s="2" t="s">
        <v>50</v>
      </c>
      <c r="H7">
        <f>16.6+9.9+8.5+56</f>
        <v>91</v>
      </c>
      <c r="Y7">
        <f>SUM(Gasto_real[[#This Row],[Transporte]:[U2B Premium]])</f>
        <v>91</v>
      </c>
    </row>
    <row r="8" spans="1:25" x14ac:dyDescent="0.3">
      <c r="A8" s="8">
        <v>46149</v>
      </c>
      <c r="B8" s="5">
        <v>46143</v>
      </c>
      <c r="C8" s="5">
        <v>46157</v>
      </c>
      <c r="D8" s="6">
        <v>0</v>
      </c>
      <c r="E8" t="s">
        <v>6</v>
      </c>
      <c r="F8" s="2" t="s">
        <v>34</v>
      </c>
      <c r="G8" s="2" t="s">
        <v>50</v>
      </c>
      <c r="H8">
        <f>16.6+9.9+8.5+52</f>
        <v>87</v>
      </c>
      <c r="Y8">
        <f>SUM(Gasto_real[[#This Row],[Transporte]:[U2B Premium]])</f>
        <v>87</v>
      </c>
    </row>
    <row r="9" spans="1:25" x14ac:dyDescent="0.3">
      <c r="A9" s="8">
        <v>46150</v>
      </c>
      <c r="B9" s="5">
        <v>46143</v>
      </c>
      <c r="C9" s="5">
        <v>46157</v>
      </c>
      <c r="D9" s="6">
        <v>2</v>
      </c>
      <c r="E9" t="s">
        <v>6</v>
      </c>
      <c r="F9" s="2" t="s">
        <v>34</v>
      </c>
      <c r="G9" s="2" t="s">
        <v>50</v>
      </c>
      <c r="H9">
        <f>16.6+9.9+8.5+56</f>
        <v>91</v>
      </c>
      <c r="Y9">
        <f>SUM(Gasto_real[[#This Row],[Transporte]:[U2B Premium]])</f>
        <v>91</v>
      </c>
    </row>
    <row r="10" spans="1:25" x14ac:dyDescent="0.3">
      <c r="A10" s="8">
        <v>46151</v>
      </c>
      <c r="B10" s="5">
        <v>46143</v>
      </c>
      <c r="C10" s="5">
        <v>46157</v>
      </c>
      <c r="D10" s="6">
        <v>0</v>
      </c>
      <c r="E10" t="s">
        <v>6</v>
      </c>
      <c r="F10" s="2" t="s">
        <v>34</v>
      </c>
      <c r="G10" s="2" t="s">
        <v>50</v>
      </c>
      <c r="H10">
        <f>16.6+9.9+8.5+56</f>
        <v>91</v>
      </c>
      <c r="Y10">
        <f>SUM(Gasto_real[[#This Row],[Transporte]:[U2B Premium]])</f>
        <v>91</v>
      </c>
    </row>
    <row r="11" spans="1:25" x14ac:dyDescent="0.3">
      <c r="A11" s="8">
        <v>46152</v>
      </c>
      <c r="B11" s="5">
        <v>46143</v>
      </c>
      <c r="C11" s="5">
        <v>46157</v>
      </c>
      <c r="D11" s="6">
        <v>0</v>
      </c>
      <c r="E11" t="s">
        <v>6</v>
      </c>
      <c r="F11" s="2" t="s">
        <v>34</v>
      </c>
      <c r="G11" s="2" t="s">
        <v>50</v>
      </c>
      <c r="O11">
        <v>1800</v>
      </c>
      <c r="Y11">
        <f>SUM(Gasto_real[[#This Row],[Transporte]:[U2B Premium]])</f>
        <v>1800</v>
      </c>
    </row>
    <row r="12" spans="1:25" x14ac:dyDescent="0.3">
      <c r="A12" s="8">
        <v>46153</v>
      </c>
      <c r="B12" s="5">
        <v>46143</v>
      </c>
      <c r="C12" s="5">
        <v>46157</v>
      </c>
      <c r="D12" s="6">
        <v>0</v>
      </c>
      <c r="E12" t="s">
        <v>6</v>
      </c>
      <c r="F12" s="2" t="s">
        <v>34</v>
      </c>
      <c r="G12" s="2" t="s">
        <v>50</v>
      </c>
      <c r="H12">
        <f>16.6+9.9+8.5+67</f>
        <v>102</v>
      </c>
      <c r="Y12">
        <f>SUM(Gasto_real[[#This Row],[Transporte]:[U2B Premium]])</f>
        <v>102</v>
      </c>
    </row>
    <row r="13" spans="1:25" x14ac:dyDescent="0.3">
      <c r="A13" s="8">
        <v>46154</v>
      </c>
      <c r="B13" s="5">
        <v>46143</v>
      </c>
      <c r="C13" s="5">
        <v>46157</v>
      </c>
      <c r="D13" s="6">
        <v>0</v>
      </c>
      <c r="E13" t="s">
        <v>6</v>
      </c>
      <c r="F13" s="2" t="s">
        <v>34</v>
      </c>
      <c r="G13" s="2" t="s">
        <v>50</v>
      </c>
      <c r="H13">
        <f>16.6+15+9.9+8.35</f>
        <v>49.85</v>
      </c>
      <c r="Y13">
        <f>SUM(Gasto_real[[#This Row],[Transporte]:[U2B Premium]])</f>
        <v>49.85</v>
      </c>
    </row>
    <row r="14" spans="1:25" x14ac:dyDescent="0.3">
      <c r="A14" s="8">
        <v>46155</v>
      </c>
      <c r="B14" s="5">
        <v>46143</v>
      </c>
      <c r="C14" s="5">
        <v>46157</v>
      </c>
      <c r="D14" s="6">
        <v>0</v>
      </c>
      <c r="E14" t="s">
        <v>6</v>
      </c>
      <c r="F14" s="2" t="s">
        <v>34</v>
      </c>
      <c r="G14" s="2" t="s">
        <v>50</v>
      </c>
      <c r="H14">
        <f>16.6+9.9+8.5+58</f>
        <v>93</v>
      </c>
      <c r="Y14">
        <f>SUM(Gasto_real[[#This Row],[Transporte]:[U2B Premium]])</f>
        <v>93</v>
      </c>
    </row>
    <row r="15" spans="1:25" x14ac:dyDescent="0.3">
      <c r="A15" s="8">
        <v>46156</v>
      </c>
      <c r="B15" s="5">
        <v>46143</v>
      </c>
      <c r="C15" s="5">
        <v>46157</v>
      </c>
      <c r="D15" s="6">
        <v>0</v>
      </c>
      <c r="E15" t="s">
        <v>6</v>
      </c>
      <c r="F15" s="2" t="s">
        <v>34</v>
      </c>
      <c r="G15" s="2" t="s">
        <v>50</v>
      </c>
      <c r="H15">
        <f>16.7+7.5+9.9+8.35</f>
        <v>42.45</v>
      </c>
      <c r="Y15">
        <f>SUM(Gasto_real[[#This Row],[Transporte]:[U2B Premium]])</f>
        <v>42.45</v>
      </c>
    </row>
    <row r="16" spans="1:25" x14ac:dyDescent="0.3">
      <c r="A16" s="8">
        <v>46157</v>
      </c>
      <c r="B16" s="5">
        <v>46143</v>
      </c>
      <c r="C16" s="5">
        <v>46157</v>
      </c>
      <c r="D16" s="6">
        <v>0</v>
      </c>
      <c r="E16" t="s">
        <v>6</v>
      </c>
      <c r="F16" s="2" t="s">
        <v>34</v>
      </c>
      <c r="G16" s="2" t="s">
        <v>50</v>
      </c>
      <c r="H16">
        <f t="shared" ref="H16:H17" si="0">16.7+7.5+9.9+8.35</f>
        <v>42.45</v>
      </c>
      <c r="Y16">
        <f>SUM(Gasto_real[[#This Row],[Transporte]:[U2B Premium]])</f>
        <v>42.45</v>
      </c>
    </row>
    <row r="17" spans="1:25" x14ac:dyDescent="0.3">
      <c r="A17" s="8">
        <v>46158</v>
      </c>
      <c r="B17" s="5">
        <v>46158</v>
      </c>
      <c r="C17" s="5">
        <v>46173</v>
      </c>
      <c r="D17" s="6">
        <v>1</v>
      </c>
      <c r="E17" t="s">
        <v>7</v>
      </c>
      <c r="F17" s="2" t="s">
        <v>34</v>
      </c>
      <c r="G17" s="2" t="s">
        <v>50</v>
      </c>
      <c r="H17">
        <f t="shared" si="0"/>
        <v>42.45</v>
      </c>
      <c r="I17">
        <v>446</v>
      </c>
      <c r="J17">
        <v>899</v>
      </c>
      <c r="K17">
        <v>239</v>
      </c>
      <c r="L17">
        <v>139</v>
      </c>
      <c r="O17">
        <v>1800</v>
      </c>
      <c r="P17">
        <v>2000</v>
      </c>
      <c r="Q17">
        <v>70</v>
      </c>
      <c r="T17">
        <v>321</v>
      </c>
      <c r="Y17">
        <f>SUM(Gasto_real[[#This Row],[Transporte]:[U2B Premium]])</f>
        <v>5956.45</v>
      </c>
    </row>
    <row r="18" spans="1:25" x14ac:dyDescent="0.3">
      <c r="A18" s="8">
        <v>46159</v>
      </c>
      <c r="B18" s="5">
        <v>46158</v>
      </c>
      <c r="C18" s="5">
        <v>46173</v>
      </c>
      <c r="D18" s="6">
        <v>0</v>
      </c>
      <c r="E18" t="s">
        <v>7</v>
      </c>
      <c r="F18" s="2" t="s">
        <v>34</v>
      </c>
      <c r="G18" s="2" t="s">
        <v>50</v>
      </c>
      <c r="P18">
        <v>215.1</v>
      </c>
      <c r="Y18">
        <f>SUM(Gasto_real[[#This Row],[Transporte]:[U2B Premium]])</f>
        <v>215.1</v>
      </c>
    </row>
    <row r="19" spans="1:25" x14ac:dyDescent="0.3">
      <c r="A19" s="8">
        <v>46160</v>
      </c>
      <c r="B19" s="5">
        <v>46158</v>
      </c>
      <c r="C19" s="5">
        <v>46173</v>
      </c>
      <c r="D19" s="6">
        <v>0</v>
      </c>
      <c r="E19" t="s">
        <v>7</v>
      </c>
      <c r="F19" s="2" t="s">
        <v>34</v>
      </c>
      <c r="G19" s="2" t="s">
        <v>50</v>
      </c>
      <c r="H19">
        <f t="shared" ref="H19:H24" si="1">16.7+7.5+9.9+8.35</f>
        <v>42.45</v>
      </c>
      <c r="Y19">
        <f>SUM(Gasto_real[[#This Row],[Transporte]:[U2B Premium]])</f>
        <v>42.45</v>
      </c>
    </row>
    <row r="20" spans="1:25" x14ac:dyDescent="0.3">
      <c r="A20" s="8">
        <v>46161</v>
      </c>
      <c r="B20" s="5">
        <v>46158</v>
      </c>
      <c r="C20" s="5">
        <v>46173</v>
      </c>
      <c r="D20" s="6">
        <v>0</v>
      </c>
      <c r="E20" t="s">
        <v>7</v>
      </c>
      <c r="F20" s="2" t="s">
        <v>34</v>
      </c>
      <c r="G20" s="2" t="s">
        <v>50</v>
      </c>
      <c r="H20">
        <f t="shared" si="1"/>
        <v>42.45</v>
      </c>
      <c r="Y20">
        <f>SUM(Gasto_real[[#This Row],[Transporte]:[U2B Premium]])</f>
        <v>42.45</v>
      </c>
    </row>
    <row r="21" spans="1:25" x14ac:dyDescent="0.3">
      <c r="A21" s="8">
        <v>46162</v>
      </c>
      <c r="B21" s="5">
        <v>46158</v>
      </c>
      <c r="C21" s="5">
        <v>46173</v>
      </c>
      <c r="D21" s="6">
        <v>0</v>
      </c>
      <c r="E21" t="s">
        <v>7</v>
      </c>
      <c r="F21" s="2" t="s">
        <v>34</v>
      </c>
      <c r="G21" s="2" t="s">
        <v>50</v>
      </c>
      <c r="H21">
        <f t="shared" si="1"/>
        <v>42.45</v>
      </c>
      <c r="Y21">
        <f>SUM(Gasto_real[[#This Row],[Transporte]:[U2B Premium]])</f>
        <v>42.45</v>
      </c>
    </row>
    <row r="22" spans="1:25" x14ac:dyDescent="0.3">
      <c r="A22" s="8">
        <v>46163</v>
      </c>
      <c r="B22" s="5">
        <v>46158</v>
      </c>
      <c r="C22" s="5">
        <v>46173</v>
      </c>
      <c r="D22" s="6">
        <v>0</v>
      </c>
      <c r="E22" t="s">
        <v>7</v>
      </c>
      <c r="F22" s="2" t="s">
        <v>34</v>
      </c>
      <c r="G22" s="2" t="s">
        <v>50</v>
      </c>
      <c r="H22">
        <f t="shared" si="1"/>
        <v>42.45</v>
      </c>
      <c r="Y22">
        <f>SUM(Gasto_real[[#This Row],[Transporte]:[U2B Premium]])</f>
        <v>42.45</v>
      </c>
    </row>
    <row r="23" spans="1:25" x14ac:dyDescent="0.3">
      <c r="A23" s="8">
        <v>46164</v>
      </c>
      <c r="B23" s="5">
        <v>46158</v>
      </c>
      <c r="C23" s="5">
        <v>46173</v>
      </c>
      <c r="D23" s="6">
        <v>0</v>
      </c>
      <c r="E23" t="s">
        <v>7</v>
      </c>
      <c r="F23" s="2" t="s">
        <v>34</v>
      </c>
      <c r="G23" s="2" t="s">
        <v>50</v>
      </c>
      <c r="H23">
        <f t="shared" si="1"/>
        <v>42.45</v>
      </c>
      <c r="Y23">
        <f>SUM(Gasto_real[[#This Row],[Transporte]:[U2B Premium]])</f>
        <v>42.45</v>
      </c>
    </row>
    <row r="24" spans="1:25" x14ac:dyDescent="0.3">
      <c r="A24" s="8">
        <v>46165</v>
      </c>
      <c r="B24" s="5">
        <v>46158</v>
      </c>
      <c r="C24" s="5">
        <v>46173</v>
      </c>
      <c r="D24" s="6">
        <v>2</v>
      </c>
      <c r="E24" t="s">
        <v>7</v>
      </c>
      <c r="F24" s="2" t="s">
        <v>34</v>
      </c>
      <c r="G24" s="2" t="s">
        <v>50</v>
      </c>
      <c r="H24">
        <f t="shared" si="1"/>
        <v>42.45</v>
      </c>
      <c r="O24">
        <v>1800</v>
      </c>
      <c r="Y24">
        <f>SUM(Gasto_real[[#This Row],[Transporte]:[U2B Premium]])</f>
        <v>1842.45</v>
      </c>
    </row>
    <row r="25" spans="1:25" x14ac:dyDescent="0.3">
      <c r="A25" s="8">
        <v>46166</v>
      </c>
      <c r="B25" s="5">
        <v>46158</v>
      </c>
      <c r="C25" s="5">
        <v>46173</v>
      </c>
      <c r="D25" s="6">
        <v>0</v>
      </c>
      <c r="E25" t="s">
        <v>7</v>
      </c>
      <c r="F25" s="2" t="s">
        <v>34</v>
      </c>
      <c r="G25" s="2" t="s">
        <v>50</v>
      </c>
      <c r="P25">
        <v>450</v>
      </c>
      <c r="Y25">
        <f>SUM(Gasto_real[[#This Row],[Transporte]:[U2B Premium]])</f>
        <v>450</v>
      </c>
    </row>
    <row r="26" spans="1:25" x14ac:dyDescent="0.3">
      <c r="A26" s="8">
        <v>46167</v>
      </c>
      <c r="B26" s="5">
        <v>46158</v>
      </c>
      <c r="C26" s="5">
        <v>46173</v>
      </c>
      <c r="D26" s="6">
        <v>0</v>
      </c>
      <c r="E26" t="s">
        <v>7</v>
      </c>
      <c r="F26" s="2" t="s">
        <v>34</v>
      </c>
      <c r="G26" s="2" t="s">
        <v>50</v>
      </c>
      <c r="H26">
        <f t="shared" ref="H26:H31" si="2">16.7+7.5+9.9+8.35</f>
        <v>42.45</v>
      </c>
      <c r="P26">
        <v>1400</v>
      </c>
      <c r="Y26">
        <f>SUM(Gasto_real[[#This Row],[Transporte]:[U2B Premium]])</f>
        <v>1442.45</v>
      </c>
    </row>
    <row r="27" spans="1:25" x14ac:dyDescent="0.3">
      <c r="A27" s="8">
        <v>46168</v>
      </c>
      <c r="B27" s="5">
        <v>46158</v>
      </c>
      <c r="C27" s="5">
        <v>46173</v>
      </c>
      <c r="D27" s="6">
        <v>0</v>
      </c>
      <c r="E27" t="s">
        <v>7</v>
      </c>
      <c r="F27" s="2" t="s">
        <v>34</v>
      </c>
      <c r="G27" s="2" t="s">
        <v>50</v>
      </c>
      <c r="H27">
        <f t="shared" si="2"/>
        <v>42.45</v>
      </c>
      <c r="Y27">
        <f>SUM(Gasto_real[[#This Row],[Transporte]:[U2B Premium]])</f>
        <v>42.45</v>
      </c>
    </row>
    <row r="28" spans="1:25" x14ac:dyDescent="0.3">
      <c r="A28" s="8">
        <v>46169</v>
      </c>
      <c r="B28" s="5">
        <v>46158</v>
      </c>
      <c r="C28" s="5">
        <v>46173</v>
      </c>
      <c r="D28" s="6">
        <v>0</v>
      </c>
      <c r="E28" t="s">
        <v>7</v>
      </c>
      <c r="F28" s="2" t="s">
        <v>34</v>
      </c>
      <c r="G28" s="2" t="s">
        <v>50</v>
      </c>
      <c r="H28">
        <f t="shared" si="2"/>
        <v>42.45</v>
      </c>
      <c r="Y28">
        <f>SUM(Gasto_real[[#This Row],[Transporte]:[U2B Premium]])</f>
        <v>42.45</v>
      </c>
    </row>
    <row r="29" spans="1:25" x14ac:dyDescent="0.3">
      <c r="A29" s="8">
        <v>46170</v>
      </c>
      <c r="B29" s="5">
        <v>46158</v>
      </c>
      <c r="C29" s="5">
        <v>46173</v>
      </c>
      <c r="D29" s="6">
        <v>0</v>
      </c>
      <c r="E29" t="s">
        <v>7</v>
      </c>
      <c r="F29" s="2" t="s">
        <v>34</v>
      </c>
      <c r="G29" s="2" t="s">
        <v>50</v>
      </c>
      <c r="H29">
        <f t="shared" si="2"/>
        <v>42.45</v>
      </c>
      <c r="Y29">
        <f>SUM(Gasto_real[[#This Row],[Transporte]:[U2B Premium]])</f>
        <v>42.45</v>
      </c>
    </row>
    <row r="30" spans="1:25" x14ac:dyDescent="0.3">
      <c r="A30" s="8">
        <v>46171</v>
      </c>
      <c r="B30" s="5">
        <v>46158</v>
      </c>
      <c r="C30" s="5">
        <v>46173</v>
      </c>
      <c r="D30" s="6">
        <v>0</v>
      </c>
      <c r="E30" t="s">
        <v>7</v>
      </c>
      <c r="F30" s="2" t="s">
        <v>34</v>
      </c>
      <c r="G30" s="2" t="s">
        <v>50</v>
      </c>
      <c r="H30">
        <f t="shared" si="2"/>
        <v>42.45</v>
      </c>
      <c r="Y30">
        <f>SUM(Gasto_real[[#This Row],[Transporte]:[U2B Premium]])</f>
        <v>42.45</v>
      </c>
    </row>
    <row r="31" spans="1:25" x14ac:dyDescent="0.3">
      <c r="A31" s="8">
        <v>46172</v>
      </c>
      <c r="B31" s="5">
        <v>46158</v>
      </c>
      <c r="C31" s="5">
        <v>46173</v>
      </c>
      <c r="D31" s="6">
        <v>0</v>
      </c>
      <c r="E31" t="s">
        <v>7</v>
      </c>
      <c r="F31" s="2" t="s">
        <v>34</v>
      </c>
      <c r="G31" s="2" t="s">
        <v>50</v>
      </c>
      <c r="H31">
        <f t="shared" si="2"/>
        <v>42.45</v>
      </c>
      <c r="Y31">
        <f>SUM(Gasto_real[[#This Row],[Transporte]:[U2B Premium]])</f>
        <v>42.45</v>
      </c>
    </row>
    <row r="32" spans="1:25" x14ac:dyDescent="0.3">
      <c r="A32" s="8">
        <v>46173</v>
      </c>
      <c r="B32" s="5">
        <v>46158</v>
      </c>
      <c r="C32" s="5">
        <v>46173</v>
      </c>
      <c r="D32" s="6">
        <v>0</v>
      </c>
      <c r="E32" t="s">
        <v>7</v>
      </c>
      <c r="F32" s="2" t="s">
        <v>34</v>
      </c>
      <c r="G32" s="2" t="s">
        <v>50</v>
      </c>
      <c r="Y32">
        <f>SUM(Gasto_real[[#This Row],[Transporte]:[U2B Premium]])</f>
        <v>0</v>
      </c>
    </row>
    <row r="33" spans="1:25" x14ac:dyDescent="0.3">
      <c r="A33" s="8">
        <v>46174</v>
      </c>
      <c r="B33" s="5">
        <v>46174</v>
      </c>
      <c r="C33" s="5">
        <v>46188</v>
      </c>
      <c r="D33" s="6">
        <v>1</v>
      </c>
      <c r="E33" t="s">
        <v>8</v>
      </c>
      <c r="F33" s="2" t="s">
        <v>34</v>
      </c>
      <c r="G33" s="2" t="s">
        <v>50</v>
      </c>
      <c r="H33">
        <f t="shared" ref="H33:H38" si="3">16.7+7.5+9.9+8.35</f>
        <v>42.45</v>
      </c>
      <c r="M33">
        <v>600</v>
      </c>
      <c r="O33">
        <v>1800</v>
      </c>
      <c r="R33">
        <v>70</v>
      </c>
      <c r="S33">
        <v>70</v>
      </c>
      <c r="Y33">
        <f>SUM(Gasto_real[[#This Row],[Transporte]:[U2B Premium]])</f>
        <v>2582.4499999999998</v>
      </c>
    </row>
    <row r="34" spans="1:25" x14ac:dyDescent="0.3">
      <c r="A34" s="8">
        <v>46175</v>
      </c>
      <c r="B34" s="5">
        <v>46174</v>
      </c>
      <c r="C34" s="5">
        <v>46188</v>
      </c>
      <c r="D34" s="6">
        <v>0</v>
      </c>
      <c r="E34" t="s">
        <v>8</v>
      </c>
      <c r="F34" s="2" t="s">
        <v>34</v>
      </c>
      <c r="G34" s="2" t="s">
        <v>50</v>
      </c>
      <c r="H34">
        <f t="shared" si="3"/>
        <v>42.45</v>
      </c>
      <c r="Y34">
        <f>SUM(Gasto_real[[#This Row],[Transporte]:[U2B Premium]])</f>
        <v>42.45</v>
      </c>
    </row>
    <row r="35" spans="1:25" x14ac:dyDescent="0.3">
      <c r="A35" s="8">
        <v>46176</v>
      </c>
      <c r="B35" s="5">
        <v>46174</v>
      </c>
      <c r="C35" s="5">
        <v>46188</v>
      </c>
      <c r="D35" s="6">
        <v>0</v>
      </c>
      <c r="E35" t="s">
        <v>8</v>
      </c>
      <c r="F35" s="2" t="s">
        <v>34</v>
      </c>
      <c r="G35" s="2" t="s">
        <v>50</v>
      </c>
      <c r="H35">
        <f t="shared" si="3"/>
        <v>42.45</v>
      </c>
      <c r="Y35">
        <f>SUM(Gasto_real[[#This Row],[Transporte]:[U2B Premium]])</f>
        <v>42.45</v>
      </c>
    </row>
    <row r="36" spans="1:25" x14ac:dyDescent="0.3">
      <c r="A36" s="8">
        <v>46177</v>
      </c>
      <c r="B36" s="5">
        <v>46174</v>
      </c>
      <c r="C36" s="5">
        <v>46188</v>
      </c>
      <c r="D36" s="6">
        <v>0</v>
      </c>
      <c r="E36" t="s">
        <v>8</v>
      </c>
      <c r="F36" s="2" t="s">
        <v>34</v>
      </c>
      <c r="G36" s="2" t="s">
        <v>50</v>
      </c>
      <c r="H36">
        <f t="shared" si="3"/>
        <v>42.45</v>
      </c>
      <c r="Y36">
        <f>SUM(Gasto_real[[#This Row],[Transporte]:[U2B Premium]])</f>
        <v>42.45</v>
      </c>
    </row>
    <row r="37" spans="1:25" x14ac:dyDescent="0.3">
      <c r="A37" s="8">
        <v>46178</v>
      </c>
      <c r="B37" s="5">
        <v>46174</v>
      </c>
      <c r="C37" s="5">
        <v>46188</v>
      </c>
      <c r="D37" s="6">
        <v>0</v>
      </c>
      <c r="E37" t="s">
        <v>8</v>
      </c>
      <c r="F37" s="2" t="s">
        <v>34</v>
      </c>
      <c r="G37" s="2" t="s">
        <v>50</v>
      </c>
      <c r="H37">
        <f t="shared" si="3"/>
        <v>42.45</v>
      </c>
      <c r="Y37">
        <f>SUM(Gasto_real[[#This Row],[Transporte]:[U2B Premium]])</f>
        <v>42.45</v>
      </c>
    </row>
    <row r="38" spans="1:25" x14ac:dyDescent="0.3">
      <c r="A38" s="8">
        <v>46179</v>
      </c>
      <c r="B38" s="5">
        <v>46174</v>
      </c>
      <c r="C38" s="5">
        <v>46188</v>
      </c>
      <c r="D38" s="6">
        <v>0</v>
      </c>
      <c r="E38" t="s">
        <v>8</v>
      </c>
      <c r="F38" s="2" t="s">
        <v>34</v>
      </c>
      <c r="G38" s="2" t="s">
        <v>50</v>
      </c>
      <c r="H38">
        <f t="shared" si="3"/>
        <v>42.45</v>
      </c>
      <c r="Y38">
        <f>SUM(Gasto_real[[#This Row],[Transporte]:[U2B Premium]])</f>
        <v>42.45</v>
      </c>
    </row>
    <row r="39" spans="1:25" x14ac:dyDescent="0.3">
      <c r="A39" s="8">
        <v>46180</v>
      </c>
      <c r="B39" s="5">
        <v>46174</v>
      </c>
      <c r="C39" s="5">
        <v>46188</v>
      </c>
      <c r="D39" s="6">
        <v>0</v>
      </c>
      <c r="E39" t="s">
        <v>8</v>
      </c>
      <c r="F39" s="2" t="s">
        <v>34</v>
      </c>
      <c r="G39" s="2" t="s">
        <v>50</v>
      </c>
      <c r="Y39">
        <f>SUM(Gasto_real[[#This Row],[Transporte]:[U2B Premium]])</f>
        <v>0</v>
      </c>
    </row>
    <row r="40" spans="1:25" x14ac:dyDescent="0.3">
      <c r="A40" s="8">
        <v>46181</v>
      </c>
      <c r="B40" s="5">
        <v>46174</v>
      </c>
      <c r="C40" s="5">
        <v>46188</v>
      </c>
      <c r="D40" s="6">
        <v>2</v>
      </c>
      <c r="E40" t="s">
        <v>8</v>
      </c>
      <c r="F40" s="2" t="s">
        <v>34</v>
      </c>
      <c r="G40" s="2" t="s">
        <v>50</v>
      </c>
      <c r="H40">
        <f t="shared" ref="H40:H45" si="4">16.7+7.5+9.9+8.35</f>
        <v>42.45</v>
      </c>
      <c r="O40">
        <v>1800</v>
      </c>
      <c r="Y40">
        <f>SUM(Gasto_real[[#This Row],[Transporte]:[U2B Premium]])</f>
        <v>1842.45</v>
      </c>
    </row>
    <row r="41" spans="1:25" x14ac:dyDescent="0.3">
      <c r="A41" s="8">
        <v>46182</v>
      </c>
      <c r="B41" s="5">
        <v>46174</v>
      </c>
      <c r="C41" s="5">
        <v>46188</v>
      </c>
      <c r="D41" s="6">
        <v>0</v>
      </c>
      <c r="E41" t="s">
        <v>8</v>
      </c>
      <c r="F41" s="2" t="s">
        <v>34</v>
      </c>
      <c r="G41" s="2" t="s">
        <v>50</v>
      </c>
      <c r="H41">
        <f t="shared" si="4"/>
        <v>42.45</v>
      </c>
      <c r="Y41">
        <f>SUM(Gasto_real[[#This Row],[Transporte]:[U2B Premium]])</f>
        <v>42.45</v>
      </c>
    </row>
    <row r="42" spans="1:25" x14ac:dyDescent="0.3">
      <c r="A42" s="8">
        <v>46183</v>
      </c>
      <c r="B42" s="5">
        <v>46174</v>
      </c>
      <c r="C42" s="5">
        <v>46188</v>
      </c>
      <c r="D42" s="6">
        <v>0</v>
      </c>
      <c r="E42" t="s">
        <v>8</v>
      </c>
      <c r="F42" s="2" t="s">
        <v>34</v>
      </c>
      <c r="G42" s="2" t="s">
        <v>50</v>
      </c>
      <c r="H42">
        <f t="shared" si="4"/>
        <v>42.45</v>
      </c>
      <c r="Y42">
        <f>SUM(Gasto_real[[#This Row],[Transporte]:[U2B Premium]])</f>
        <v>42.45</v>
      </c>
    </row>
    <row r="43" spans="1:25" x14ac:dyDescent="0.3">
      <c r="A43" s="8">
        <v>46184</v>
      </c>
      <c r="B43" s="5">
        <v>46174</v>
      </c>
      <c r="C43" s="5">
        <v>46188</v>
      </c>
      <c r="D43" s="6">
        <v>0</v>
      </c>
      <c r="E43" t="s">
        <v>8</v>
      </c>
      <c r="F43" s="2" t="s">
        <v>34</v>
      </c>
      <c r="G43" s="2" t="s">
        <v>50</v>
      </c>
      <c r="H43">
        <f t="shared" si="4"/>
        <v>42.45</v>
      </c>
      <c r="Y43">
        <f>SUM(Gasto_real[[#This Row],[Transporte]:[U2B Premium]])</f>
        <v>42.45</v>
      </c>
    </row>
    <row r="44" spans="1:25" x14ac:dyDescent="0.3">
      <c r="A44" s="8">
        <v>46185</v>
      </c>
      <c r="B44" s="5">
        <v>46174</v>
      </c>
      <c r="C44" s="5">
        <v>46188</v>
      </c>
      <c r="D44" s="6">
        <v>0</v>
      </c>
      <c r="E44" t="s">
        <v>8</v>
      </c>
      <c r="F44" s="2" t="s">
        <v>34</v>
      </c>
      <c r="G44" s="2" t="s">
        <v>50</v>
      </c>
      <c r="H44">
        <f t="shared" si="4"/>
        <v>42.45</v>
      </c>
      <c r="Y44">
        <f>SUM(Gasto_real[[#This Row],[Transporte]:[U2B Premium]])</f>
        <v>42.45</v>
      </c>
    </row>
    <row r="45" spans="1:25" x14ac:dyDescent="0.3">
      <c r="A45" s="8">
        <v>46186</v>
      </c>
      <c r="B45" s="5">
        <v>46174</v>
      </c>
      <c r="C45" s="5">
        <v>46188</v>
      </c>
      <c r="D45" s="6">
        <v>0</v>
      </c>
      <c r="E45" t="s">
        <v>8</v>
      </c>
      <c r="F45" s="2" t="s">
        <v>34</v>
      </c>
      <c r="G45" s="2" t="s">
        <v>50</v>
      </c>
      <c r="H45">
        <f t="shared" si="4"/>
        <v>42.45</v>
      </c>
      <c r="Y45">
        <f>SUM(Gasto_real[[#This Row],[Transporte]:[U2B Premium]])</f>
        <v>42.45</v>
      </c>
    </row>
    <row r="46" spans="1:25" x14ac:dyDescent="0.3">
      <c r="A46" s="8">
        <v>46187</v>
      </c>
      <c r="B46" s="5">
        <v>46174</v>
      </c>
      <c r="C46" s="5">
        <v>46188</v>
      </c>
      <c r="D46" s="6">
        <v>0</v>
      </c>
      <c r="E46" t="s">
        <v>8</v>
      </c>
      <c r="F46" s="2" t="s">
        <v>34</v>
      </c>
      <c r="G46" s="2" t="s">
        <v>50</v>
      </c>
      <c r="Y46">
        <f>SUM(Gasto_real[[#This Row],[Transporte]:[U2B Premium]])</f>
        <v>0</v>
      </c>
    </row>
    <row r="47" spans="1:25" x14ac:dyDescent="0.3">
      <c r="A47" s="8">
        <v>46188</v>
      </c>
      <c r="B47" s="5">
        <v>46174</v>
      </c>
      <c r="C47" s="5">
        <v>46188</v>
      </c>
      <c r="D47" s="6">
        <v>0</v>
      </c>
      <c r="E47" t="s">
        <v>8</v>
      </c>
      <c r="F47" s="2" t="s">
        <v>34</v>
      </c>
      <c r="G47" s="2" t="s">
        <v>50</v>
      </c>
      <c r="H47">
        <f t="shared" ref="H47:H52" si="5">16.7+7.5+9.9+8.35</f>
        <v>42.45</v>
      </c>
      <c r="Y47">
        <f>SUM(Gasto_real[[#This Row],[Transporte]:[U2B Premium]])</f>
        <v>42.45</v>
      </c>
    </row>
    <row r="48" spans="1:25" x14ac:dyDescent="0.3">
      <c r="A48" s="8">
        <v>46189</v>
      </c>
      <c r="B48" s="5">
        <v>46189</v>
      </c>
      <c r="C48" s="5">
        <v>46203</v>
      </c>
      <c r="D48" s="6">
        <v>1</v>
      </c>
      <c r="E48" t="s">
        <v>9</v>
      </c>
      <c r="F48" s="2" t="s">
        <v>34</v>
      </c>
      <c r="G48" s="2" t="s">
        <v>50</v>
      </c>
      <c r="H48">
        <f t="shared" si="5"/>
        <v>42.45</v>
      </c>
      <c r="I48">
        <v>450</v>
      </c>
      <c r="K48">
        <v>239</v>
      </c>
      <c r="L48">
        <v>139</v>
      </c>
      <c r="O48">
        <v>1800</v>
      </c>
      <c r="Q48">
        <v>70</v>
      </c>
      <c r="T48">
        <v>321</v>
      </c>
      <c r="Y48">
        <f>SUM(Gasto_real[[#This Row],[Transporte]:[U2B Premium]])</f>
        <v>3061.45</v>
      </c>
    </row>
    <row r="49" spans="1:25" x14ac:dyDescent="0.3">
      <c r="A49" s="8">
        <v>46190</v>
      </c>
      <c r="B49" s="5">
        <v>46189</v>
      </c>
      <c r="C49" s="5">
        <v>46203</v>
      </c>
      <c r="D49" s="6">
        <v>0</v>
      </c>
      <c r="E49" t="s">
        <v>9</v>
      </c>
      <c r="F49" s="2" t="s">
        <v>34</v>
      </c>
      <c r="G49" s="2" t="s">
        <v>50</v>
      </c>
      <c r="H49">
        <f t="shared" si="5"/>
        <v>42.45</v>
      </c>
      <c r="Y49">
        <f>SUM(Gasto_real[[#This Row],[Transporte]:[U2B Premium]])</f>
        <v>42.45</v>
      </c>
    </row>
    <row r="50" spans="1:25" x14ac:dyDescent="0.3">
      <c r="A50" s="8">
        <v>46191</v>
      </c>
      <c r="B50" s="5">
        <v>46189</v>
      </c>
      <c r="C50" s="5">
        <v>46203</v>
      </c>
      <c r="D50" s="6">
        <v>0</v>
      </c>
      <c r="E50" t="s">
        <v>9</v>
      </c>
      <c r="F50" s="2" t="s">
        <v>34</v>
      </c>
      <c r="G50" s="2" t="s">
        <v>50</v>
      </c>
      <c r="H50">
        <f t="shared" si="5"/>
        <v>42.45</v>
      </c>
      <c r="Y50">
        <f>SUM(Gasto_real[[#This Row],[Transporte]:[U2B Premium]])</f>
        <v>42.45</v>
      </c>
    </row>
    <row r="51" spans="1:25" x14ac:dyDescent="0.3">
      <c r="A51" s="8">
        <v>46192</v>
      </c>
      <c r="B51" s="5">
        <v>46189</v>
      </c>
      <c r="C51" s="5">
        <v>46203</v>
      </c>
      <c r="D51" s="6">
        <v>0</v>
      </c>
      <c r="E51" t="s">
        <v>9</v>
      </c>
      <c r="F51" s="2" t="s">
        <v>34</v>
      </c>
      <c r="G51" s="2" t="s">
        <v>50</v>
      </c>
      <c r="H51">
        <f t="shared" si="5"/>
        <v>42.45</v>
      </c>
      <c r="Y51">
        <f>SUM(Gasto_real[[#This Row],[Transporte]:[U2B Premium]])</f>
        <v>42.45</v>
      </c>
    </row>
    <row r="52" spans="1:25" x14ac:dyDescent="0.3">
      <c r="A52" s="8">
        <v>46193</v>
      </c>
      <c r="B52" s="5">
        <v>46189</v>
      </c>
      <c r="C52" s="5">
        <v>46203</v>
      </c>
      <c r="D52" s="6">
        <v>0</v>
      </c>
      <c r="E52" t="s">
        <v>9</v>
      </c>
      <c r="F52" s="2" t="s">
        <v>34</v>
      </c>
      <c r="G52" s="2" t="s">
        <v>50</v>
      </c>
      <c r="H52">
        <f t="shared" si="5"/>
        <v>42.45</v>
      </c>
      <c r="Y52">
        <f>SUM(Gasto_real[[#This Row],[Transporte]:[U2B Premium]])</f>
        <v>42.45</v>
      </c>
    </row>
    <row r="53" spans="1:25" x14ac:dyDescent="0.3">
      <c r="A53" s="8">
        <v>46194</v>
      </c>
      <c r="B53" s="5">
        <v>46189</v>
      </c>
      <c r="C53" s="5">
        <v>46203</v>
      </c>
      <c r="D53" s="6">
        <v>0</v>
      </c>
      <c r="E53" t="s">
        <v>9</v>
      </c>
      <c r="F53" s="2" t="s">
        <v>34</v>
      </c>
      <c r="G53" s="2" t="s">
        <v>50</v>
      </c>
      <c r="Y53">
        <f>SUM(Gasto_real[[#This Row],[Transporte]:[U2B Premium]])</f>
        <v>0</v>
      </c>
    </row>
    <row r="54" spans="1:25" x14ac:dyDescent="0.3">
      <c r="A54" s="8">
        <v>46195</v>
      </c>
      <c r="B54" s="5">
        <v>46189</v>
      </c>
      <c r="C54" s="5">
        <v>46203</v>
      </c>
      <c r="D54" s="6">
        <v>0</v>
      </c>
      <c r="E54" t="s">
        <v>9</v>
      </c>
      <c r="F54" s="2" t="s">
        <v>34</v>
      </c>
      <c r="G54" s="2" t="s">
        <v>50</v>
      </c>
      <c r="H54">
        <f t="shared" ref="H54:H59" si="6">16.7+7.5+9.9+8.35</f>
        <v>42.45</v>
      </c>
      <c r="Y54">
        <f>SUM(Gasto_real[[#This Row],[Transporte]:[U2B Premium]])</f>
        <v>42.45</v>
      </c>
    </row>
    <row r="55" spans="1:25" x14ac:dyDescent="0.3">
      <c r="A55" s="8">
        <v>46196</v>
      </c>
      <c r="B55" s="5">
        <v>46189</v>
      </c>
      <c r="C55" s="5">
        <v>46203</v>
      </c>
      <c r="D55" s="6">
        <v>2</v>
      </c>
      <c r="E55" t="s">
        <v>9</v>
      </c>
      <c r="F55" s="2" t="s">
        <v>34</v>
      </c>
      <c r="G55" s="2" t="s">
        <v>50</v>
      </c>
      <c r="H55">
        <f t="shared" si="6"/>
        <v>42.45</v>
      </c>
      <c r="O55">
        <v>1800</v>
      </c>
      <c r="Y55">
        <f>SUM(Gasto_real[[#This Row],[Transporte]:[U2B Premium]])</f>
        <v>1842.45</v>
      </c>
    </row>
    <row r="56" spans="1:25" x14ac:dyDescent="0.3">
      <c r="A56" s="8">
        <v>46197</v>
      </c>
      <c r="B56" s="5">
        <v>46189</v>
      </c>
      <c r="C56" s="5">
        <v>46203</v>
      </c>
      <c r="D56" s="6">
        <v>0</v>
      </c>
      <c r="E56" t="s">
        <v>9</v>
      </c>
      <c r="F56" s="2" t="s">
        <v>34</v>
      </c>
      <c r="G56" s="2" t="s">
        <v>50</v>
      </c>
      <c r="H56">
        <f t="shared" si="6"/>
        <v>42.45</v>
      </c>
      <c r="Y56">
        <f>SUM(Gasto_real[[#This Row],[Transporte]:[U2B Premium]])</f>
        <v>42.45</v>
      </c>
    </row>
    <row r="57" spans="1:25" x14ac:dyDescent="0.3">
      <c r="A57" s="8">
        <v>46198</v>
      </c>
      <c r="B57" s="5">
        <v>46189</v>
      </c>
      <c r="C57" s="5">
        <v>46203</v>
      </c>
      <c r="D57" s="6">
        <v>0</v>
      </c>
      <c r="E57" t="s">
        <v>9</v>
      </c>
      <c r="F57" s="2" t="s">
        <v>34</v>
      </c>
      <c r="G57" s="2" t="s">
        <v>50</v>
      </c>
      <c r="H57">
        <f t="shared" si="6"/>
        <v>42.45</v>
      </c>
      <c r="Y57">
        <f>SUM(Gasto_real[[#This Row],[Transporte]:[U2B Premium]])</f>
        <v>42.45</v>
      </c>
    </row>
    <row r="58" spans="1:25" x14ac:dyDescent="0.3">
      <c r="A58" s="8">
        <v>46199</v>
      </c>
      <c r="B58" s="5">
        <v>46189</v>
      </c>
      <c r="C58" s="5">
        <v>46203</v>
      </c>
      <c r="D58" s="6">
        <v>0</v>
      </c>
      <c r="E58" t="s">
        <v>9</v>
      </c>
      <c r="F58" s="2" t="s">
        <v>34</v>
      </c>
      <c r="G58" s="2" t="s">
        <v>50</v>
      </c>
      <c r="H58">
        <f t="shared" si="6"/>
        <v>42.45</v>
      </c>
      <c r="Y58">
        <f>SUM(Gasto_real[[#This Row],[Transporte]:[U2B Premium]])</f>
        <v>42.45</v>
      </c>
    </row>
    <row r="59" spans="1:25" x14ac:dyDescent="0.3">
      <c r="A59" s="8">
        <v>46200</v>
      </c>
      <c r="B59" s="5">
        <v>46189</v>
      </c>
      <c r="C59" s="5">
        <v>46203</v>
      </c>
      <c r="D59" s="6">
        <v>0</v>
      </c>
      <c r="E59" t="s">
        <v>9</v>
      </c>
      <c r="F59" s="2" t="s">
        <v>34</v>
      </c>
      <c r="G59" s="2" t="s">
        <v>50</v>
      </c>
      <c r="H59">
        <f t="shared" si="6"/>
        <v>42.45</v>
      </c>
      <c r="Y59">
        <f>SUM(Gasto_real[[#This Row],[Transporte]:[U2B Premium]])</f>
        <v>42.45</v>
      </c>
    </row>
    <row r="60" spans="1:25" x14ac:dyDescent="0.3">
      <c r="A60" s="8">
        <v>46201</v>
      </c>
      <c r="B60" s="5">
        <v>46189</v>
      </c>
      <c r="C60" s="5">
        <v>46203</v>
      </c>
      <c r="D60" s="6">
        <v>0</v>
      </c>
      <c r="E60" t="s">
        <v>9</v>
      </c>
      <c r="F60" s="2" t="s">
        <v>34</v>
      </c>
      <c r="G60" s="2" t="s">
        <v>50</v>
      </c>
      <c r="Y60">
        <f>SUM(Gasto_real[[#This Row],[Transporte]:[U2B Premium]])</f>
        <v>0</v>
      </c>
    </row>
    <row r="61" spans="1:25" x14ac:dyDescent="0.3">
      <c r="A61" s="8">
        <v>46202</v>
      </c>
      <c r="B61" s="5">
        <v>46189</v>
      </c>
      <c r="C61" s="5">
        <v>46203</v>
      </c>
      <c r="D61" s="6">
        <v>0</v>
      </c>
      <c r="E61" t="s">
        <v>9</v>
      </c>
      <c r="F61" s="2" t="s">
        <v>34</v>
      </c>
      <c r="G61" s="2" t="s">
        <v>50</v>
      </c>
      <c r="H61">
        <f t="shared" ref="H61:H66" si="7">16.7+7.5+9.9+8.35</f>
        <v>42.45</v>
      </c>
      <c r="Y61">
        <f>SUM(Gasto_real[[#This Row],[Transporte]:[U2B Premium]])</f>
        <v>42.45</v>
      </c>
    </row>
    <row r="62" spans="1:25" x14ac:dyDescent="0.3">
      <c r="A62" s="8">
        <v>46203</v>
      </c>
      <c r="B62" s="5">
        <v>46189</v>
      </c>
      <c r="C62" s="5">
        <v>46203</v>
      </c>
      <c r="D62" s="6">
        <v>0</v>
      </c>
      <c r="E62" t="s">
        <v>9</v>
      </c>
      <c r="F62" s="2" t="s">
        <v>34</v>
      </c>
      <c r="G62" s="2" t="s">
        <v>50</v>
      </c>
      <c r="H62">
        <f t="shared" si="7"/>
        <v>42.45</v>
      </c>
      <c r="Y62">
        <f>SUM(Gasto_real[[#This Row],[Transporte]:[U2B Premium]])</f>
        <v>42.45</v>
      </c>
    </row>
    <row r="63" spans="1:25" x14ac:dyDescent="0.3">
      <c r="A63" s="8">
        <v>46204</v>
      </c>
      <c r="B63" s="5">
        <v>46204</v>
      </c>
      <c r="C63" s="5">
        <v>46218</v>
      </c>
      <c r="D63" s="6">
        <v>1</v>
      </c>
      <c r="E63" t="s">
        <v>10</v>
      </c>
      <c r="F63" s="2" t="s">
        <v>34</v>
      </c>
      <c r="G63" s="2" t="s">
        <v>50</v>
      </c>
      <c r="H63">
        <f t="shared" si="7"/>
        <v>42.45</v>
      </c>
      <c r="N63">
        <v>600</v>
      </c>
      <c r="O63">
        <v>1800</v>
      </c>
      <c r="R63">
        <v>70</v>
      </c>
      <c r="S63">
        <v>70</v>
      </c>
      <c r="Y63">
        <f>SUM(Gasto_real[[#This Row],[Transporte]:[U2B Premium]])</f>
        <v>2582.4499999999998</v>
      </c>
    </row>
    <row r="64" spans="1:25" x14ac:dyDescent="0.3">
      <c r="A64" s="8">
        <v>46205</v>
      </c>
      <c r="B64" s="5">
        <v>46204</v>
      </c>
      <c r="C64" s="5">
        <v>46218</v>
      </c>
      <c r="D64" s="6">
        <v>0</v>
      </c>
      <c r="E64" t="s">
        <v>10</v>
      </c>
      <c r="F64" s="2" t="s">
        <v>34</v>
      </c>
      <c r="G64" s="2" t="s">
        <v>50</v>
      </c>
      <c r="H64">
        <f t="shared" si="7"/>
        <v>42.45</v>
      </c>
      <c r="R64">
        <v>70</v>
      </c>
      <c r="S64">
        <v>70</v>
      </c>
      <c r="Y64">
        <f>SUM(Gasto_real[[#This Row],[Transporte]:[U2B Premium]])</f>
        <v>182.45</v>
      </c>
    </row>
    <row r="65" spans="1:25" x14ac:dyDescent="0.3">
      <c r="A65" s="8">
        <v>46206</v>
      </c>
      <c r="B65" s="5">
        <v>46204</v>
      </c>
      <c r="C65" s="5">
        <v>46218</v>
      </c>
      <c r="D65" s="6">
        <v>0</v>
      </c>
      <c r="E65" t="s">
        <v>10</v>
      </c>
      <c r="F65" s="2" t="s">
        <v>34</v>
      </c>
      <c r="G65" s="2" t="s">
        <v>50</v>
      </c>
      <c r="H65">
        <f t="shared" si="7"/>
        <v>42.45</v>
      </c>
      <c r="Y65">
        <f>SUM(Gasto_real[[#This Row],[Transporte]:[U2B Premium]])</f>
        <v>42.45</v>
      </c>
    </row>
    <row r="66" spans="1:25" x14ac:dyDescent="0.3">
      <c r="A66" s="8">
        <v>46207</v>
      </c>
      <c r="B66" s="5">
        <v>46204</v>
      </c>
      <c r="C66" s="5">
        <v>46218</v>
      </c>
      <c r="D66" s="6">
        <v>0</v>
      </c>
      <c r="E66" t="s">
        <v>10</v>
      </c>
      <c r="F66" s="2" t="s">
        <v>34</v>
      </c>
      <c r="G66" s="2" t="s">
        <v>50</v>
      </c>
      <c r="H66">
        <f t="shared" si="7"/>
        <v>42.45</v>
      </c>
      <c r="Y66">
        <f>SUM(Gasto_real[[#This Row],[Transporte]:[U2B Premium]])</f>
        <v>42.45</v>
      </c>
    </row>
    <row r="67" spans="1:25" x14ac:dyDescent="0.3">
      <c r="A67" s="8">
        <v>46208</v>
      </c>
      <c r="B67" s="5">
        <v>46204</v>
      </c>
      <c r="C67" s="5">
        <v>46218</v>
      </c>
      <c r="D67" s="6">
        <v>0</v>
      </c>
      <c r="E67" t="s">
        <v>10</v>
      </c>
      <c r="F67" s="2" t="s">
        <v>34</v>
      </c>
      <c r="G67" s="2" t="s">
        <v>50</v>
      </c>
      <c r="Y67">
        <f>SUM(Gasto_real[[#This Row],[Transporte]:[U2B Premium]])</f>
        <v>0</v>
      </c>
    </row>
    <row r="68" spans="1:25" x14ac:dyDescent="0.3">
      <c r="A68" s="8">
        <v>46209</v>
      </c>
      <c r="B68" s="5">
        <v>46204</v>
      </c>
      <c r="C68" s="5">
        <v>46218</v>
      </c>
      <c r="D68" s="6">
        <v>0</v>
      </c>
      <c r="E68" t="s">
        <v>10</v>
      </c>
      <c r="F68" s="2" t="s">
        <v>34</v>
      </c>
      <c r="G68" s="2" t="s">
        <v>50</v>
      </c>
      <c r="H68">
        <f t="shared" ref="H68:H73" si="8">16.7+7.5+9.9+8.35</f>
        <v>42.45</v>
      </c>
      <c r="Y68">
        <f>SUM(Gasto_real[[#This Row],[Transporte]:[U2B Premium]])</f>
        <v>42.45</v>
      </c>
    </row>
    <row r="69" spans="1:25" x14ac:dyDescent="0.3">
      <c r="A69" s="8">
        <v>46210</v>
      </c>
      <c r="B69" s="5">
        <v>46204</v>
      </c>
      <c r="C69" s="5">
        <v>46218</v>
      </c>
      <c r="D69" s="6">
        <v>0</v>
      </c>
      <c r="E69" t="s">
        <v>10</v>
      </c>
      <c r="F69" s="2" t="s">
        <v>34</v>
      </c>
      <c r="G69" s="2" t="s">
        <v>50</v>
      </c>
      <c r="H69">
        <f t="shared" si="8"/>
        <v>42.45</v>
      </c>
      <c r="Y69">
        <f>SUM(Gasto_real[[#This Row],[Transporte]:[U2B Premium]])</f>
        <v>42.45</v>
      </c>
    </row>
    <row r="70" spans="1:25" x14ac:dyDescent="0.3">
      <c r="A70" s="8">
        <v>46211</v>
      </c>
      <c r="B70" s="5">
        <v>46204</v>
      </c>
      <c r="C70" s="5">
        <v>46218</v>
      </c>
      <c r="D70" s="6">
        <v>2</v>
      </c>
      <c r="E70" t="s">
        <v>10</v>
      </c>
      <c r="F70" s="2" t="s">
        <v>34</v>
      </c>
      <c r="G70" s="2" t="s">
        <v>50</v>
      </c>
      <c r="H70">
        <f t="shared" si="8"/>
        <v>42.45</v>
      </c>
      <c r="O70">
        <v>1800</v>
      </c>
      <c r="Y70">
        <f>SUM(Gasto_real[[#This Row],[Transporte]:[U2B Premium]])</f>
        <v>1842.45</v>
      </c>
    </row>
    <row r="71" spans="1:25" x14ac:dyDescent="0.3">
      <c r="A71" s="8">
        <v>46212</v>
      </c>
      <c r="B71" s="5">
        <v>46204</v>
      </c>
      <c r="C71" s="5">
        <v>46218</v>
      </c>
      <c r="D71" s="6">
        <v>0</v>
      </c>
      <c r="E71" t="s">
        <v>10</v>
      </c>
      <c r="F71" s="2" t="s">
        <v>34</v>
      </c>
      <c r="G71" s="2" t="s">
        <v>50</v>
      </c>
      <c r="H71">
        <f t="shared" si="8"/>
        <v>42.45</v>
      </c>
      <c r="Y71">
        <f>SUM(Gasto_real[[#This Row],[Transporte]:[U2B Premium]])</f>
        <v>42.45</v>
      </c>
    </row>
    <row r="72" spans="1:25" x14ac:dyDescent="0.3">
      <c r="A72" s="8">
        <v>46213</v>
      </c>
      <c r="B72" s="5">
        <v>46204</v>
      </c>
      <c r="C72" s="5">
        <v>46218</v>
      </c>
      <c r="D72" s="6">
        <v>0</v>
      </c>
      <c r="E72" t="s">
        <v>10</v>
      </c>
      <c r="F72" s="2" t="s">
        <v>34</v>
      </c>
      <c r="G72" s="2" t="s">
        <v>50</v>
      </c>
      <c r="H72">
        <f t="shared" si="8"/>
        <v>42.45</v>
      </c>
      <c r="Y72">
        <f>SUM(Gasto_real[[#This Row],[Transporte]:[U2B Premium]])</f>
        <v>42.45</v>
      </c>
    </row>
    <row r="73" spans="1:25" x14ac:dyDescent="0.3">
      <c r="A73" s="8">
        <v>46214</v>
      </c>
      <c r="B73" s="5">
        <v>46204</v>
      </c>
      <c r="C73" s="5">
        <v>46218</v>
      </c>
      <c r="D73" s="6">
        <v>0</v>
      </c>
      <c r="E73" t="s">
        <v>10</v>
      </c>
      <c r="F73" s="2" t="s">
        <v>34</v>
      </c>
      <c r="G73" s="2" t="s">
        <v>50</v>
      </c>
      <c r="H73">
        <f t="shared" si="8"/>
        <v>42.45</v>
      </c>
      <c r="Y73">
        <f>SUM(Gasto_real[[#This Row],[Transporte]:[U2B Premium]])</f>
        <v>42.45</v>
      </c>
    </row>
    <row r="74" spans="1:25" x14ac:dyDescent="0.3">
      <c r="A74" s="8">
        <v>46215</v>
      </c>
      <c r="B74" s="5">
        <v>46204</v>
      </c>
      <c r="C74" s="5">
        <v>46218</v>
      </c>
      <c r="D74" s="6">
        <v>0</v>
      </c>
      <c r="E74" t="s">
        <v>10</v>
      </c>
      <c r="F74" s="2" t="s">
        <v>34</v>
      </c>
      <c r="G74" s="2" t="s">
        <v>50</v>
      </c>
      <c r="Y74">
        <f>SUM(Gasto_real[[#This Row],[Transporte]:[U2B Premium]])</f>
        <v>0</v>
      </c>
    </row>
    <row r="75" spans="1:25" x14ac:dyDescent="0.3">
      <c r="A75" s="8">
        <v>46216</v>
      </c>
      <c r="B75" s="5">
        <v>46204</v>
      </c>
      <c r="C75" s="5">
        <v>46218</v>
      </c>
      <c r="D75" s="6">
        <v>0</v>
      </c>
      <c r="E75" t="s">
        <v>10</v>
      </c>
      <c r="F75" s="2" t="s">
        <v>34</v>
      </c>
      <c r="G75" s="2" t="s">
        <v>50</v>
      </c>
      <c r="H75">
        <f t="shared" ref="H75:H80" si="9">16.7+7.5+9.9+8.35</f>
        <v>42.45</v>
      </c>
      <c r="Y75">
        <f>SUM(Gasto_real[[#This Row],[Transporte]:[U2B Premium]])</f>
        <v>42.45</v>
      </c>
    </row>
    <row r="76" spans="1:25" x14ac:dyDescent="0.3">
      <c r="A76" s="8">
        <v>46217</v>
      </c>
      <c r="B76" s="5">
        <v>46204</v>
      </c>
      <c r="C76" s="5">
        <v>46218</v>
      </c>
      <c r="D76" s="6">
        <v>0</v>
      </c>
      <c r="E76" t="s">
        <v>10</v>
      </c>
      <c r="F76" s="2" t="s">
        <v>34</v>
      </c>
      <c r="G76" s="2" t="s">
        <v>50</v>
      </c>
      <c r="H76">
        <f t="shared" si="9"/>
        <v>42.45</v>
      </c>
      <c r="Y76">
        <f>SUM(Gasto_real[[#This Row],[Transporte]:[U2B Premium]])</f>
        <v>42.45</v>
      </c>
    </row>
    <row r="77" spans="1:25" x14ac:dyDescent="0.3">
      <c r="A77" s="8">
        <v>46218</v>
      </c>
      <c r="B77" s="5">
        <v>46204</v>
      </c>
      <c r="C77" s="5">
        <v>46218</v>
      </c>
      <c r="D77" s="6">
        <v>0</v>
      </c>
      <c r="E77" t="s">
        <v>10</v>
      </c>
      <c r="F77" s="2" t="s">
        <v>34</v>
      </c>
      <c r="G77" s="2" t="s">
        <v>50</v>
      </c>
      <c r="H77">
        <f t="shared" si="9"/>
        <v>42.45</v>
      </c>
      <c r="Y77">
        <f>SUM(Gasto_real[[#This Row],[Transporte]:[U2B Premium]])</f>
        <v>42.45</v>
      </c>
    </row>
    <row r="78" spans="1:25" x14ac:dyDescent="0.3">
      <c r="A78" s="8">
        <v>46219</v>
      </c>
      <c r="B78" s="5">
        <v>46219</v>
      </c>
      <c r="C78" s="5">
        <v>46234</v>
      </c>
      <c r="D78" s="6">
        <v>1</v>
      </c>
      <c r="E78" t="s">
        <v>11</v>
      </c>
      <c r="F78" s="2" t="s">
        <v>34</v>
      </c>
      <c r="G78" s="2" t="s">
        <v>50</v>
      </c>
      <c r="H78">
        <f t="shared" si="9"/>
        <v>42.45</v>
      </c>
      <c r="I78">
        <v>450</v>
      </c>
      <c r="J78">
        <v>449</v>
      </c>
      <c r="K78">
        <v>239</v>
      </c>
      <c r="L78">
        <v>139</v>
      </c>
      <c r="O78">
        <v>1800</v>
      </c>
      <c r="Q78">
        <v>70</v>
      </c>
      <c r="T78">
        <v>321</v>
      </c>
      <c r="Y78">
        <f>SUM(Gasto_real[[#This Row],[Transporte]:[U2B Premium]])</f>
        <v>3510.45</v>
      </c>
    </row>
    <row r="79" spans="1:25" x14ac:dyDescent="0.3">
      <c r="A79" s="8">
        <v>46220</v>
      </c>
      <c r="B79" s="5">
        <v>46219</v>
      </c>
      <c r="C79" s="5">
        <v>46234</v>
      </c>
      <c r="D79" s="6">
        <v>0</v>
      </c>
      <c r="E79" t="s">
        <v>11</v>
      </c>
      <c r="F79" s="2" t="s">
        <v>34</v>
      </c>
      <c r="G79" s="2" t="s">
        <v>50</v>
      </c>
      <c r="H79">
        <f t="shared" si="9"/>
        <v>42.45</v>
      </c>
      <c r="Y79">
        <f>SUM(Gasto_real[[#This Row],[Transporte]:[U2B Premium]])</f>
        <v>42.45</v>
      </c>
    </row>
    <row r="80" spans="1:25" x14ac:dyDescent="0.3">
      <c r="A80" s="8">
        <v>46221</v>
      </c>
      <c r="B80" s="5">
        <v>46219</v>
      </c>
      <c r="C80" s="5">
        <v>46234</v>
      </c>
      <c r="D80" s="6">
        <v>0</v>
      </c>
      <c r="E80" t="s">
        <v>11</v>
      </c>
      <c r="F80" s="2" t="s">
        <v>34</v>
      </c>
      <c r="G80" s="2" t="s">
        <v>50</v>
      </c>
      <c r="H80">
        <f t="shared" si="9"/>
        <v>42.45</v>
      </c>
      <c r="Y80">
        <f>SUM(Gasto_real[[#This Row],[Transporte]:[U2B Premium]])</f>
        <v>42.45</v>
      </c>
    </row>
    <row r="81" spans="1:25" x14ac:dyDescent="0.3">
      <c r="A81" s="8">
        <v>46222</v>
      </c>
      <c r="B81" s="5">
        <v>46219</v>
      </c>
      <c r="C81" s="5">
        <v>46234</v>
      </c>
      <c r="D81" s="6">
        <v>0</v>
      </c>
      <c r="E81" t="s">
        <v>11</v>
      </c>
      <c r="F81" s="2" t="s">
        <v>34</v>
      </c>
      <c r="G81" s="2" t="s">
        <v>50</v>
      </c>
      <c r="Y81">
        <f>SUM(Gasto_real[[#This Row],[Transporte]:[U2B Premium]])</f>
        <v>0</v>
      </c>
    </row>
    <row r="82" spans="1:25" x14ac:dyDescent="0.3">
      <c r="A82" s="8">
        <v>46223</v>
      </c>
      <c r="B82" s="5">
        <v>46219</v>
      </c>
      <c r="C82" s="5">
        <v>46234</v>
      </c>
      <c r="D82" s="6">
        <v>0</v>
      </c>
      <c r="E82" t="s">
        <v>11</v>
      </c>
      <c r="F82" s="2" t="s">
        <v>34</v>
      </c>
      <c r="G82" s="2" t="s">
        <v>50</v>
      </c>
      <c r="H82">
        <f t="shared" ref="H82:H87" si="10">16.7+7.5+9.9+8.35</f>
        <v>42.45</v>
      </c>
      <c r="Y82">
        <f>SUM(Gasto_real[[#This Row],[Transporte]:[U2B Premium]])</f>
        <v>42.45</v>
      </c>
    </row>
    <row r="83" spans="1:25" x14ac:dyDescent="0.3">
      <c r="A83" s="8">
        <v>46224</v>
      </c>
      <c r="B83" s="5">
        <v>46219</v>
      </c>
      <c r="C83" s="5">
        <v>46234</v>
      </c>
      <c r="D83" s="6">
        <v>0</v>
      </c>
      <c r="E83" t="s">
        <v>11</v>
      </c>
      <c r="F83" s="2" t="s">
        <v>34</v>
      </c>
      <c r="G83" s="2" t="s">
        <v>50</v>
      </c>
      <c r="H83">
        <f t="shared" si="10"/>
        <v>42.45</v>
      </c>
      <c r="Y83">
        <f>SUM(Gasto_real[[#This Row],[Transporte]:[U2B Premium]])</f>
        <v>42.45</v>
      </c>
    </row>
    <row r="84" spans="1:25" x14ac:dyDescent="0.3">
      <c r="A84" s="8">
        <v>46225</v>
      </c>
      <c r="B84" s="5">
        <v>46219</v>
      </c>
      <c r="C84" s="5">
        <v>46234</v>
      </c>
      <c r="D84" s="6">
        <v>0</v>
      </c>
      <c r="E84" t="s">
        <v>11</v>
      </c>
      <c r="F84" s="2" t="s">
        <v>34</v>
      </c>
      <c r="G84" s="2" t="s">
        <v>50</v>
      </c>
      <c r="H84">
        <f t="shared" si="10"/>
        <v>42.45</v>
      </c>
      <c r="Y84">
        <f>SUM(Gasto_real[[#This Row],[Transporte]:[U2B Premium]])</f>
        <v>42.45</v>
      </c>
    </row>
    <row r="85" spans="1:25" x14ac:dyDescent="0.3">
      <c r="A85" s="8">
        <v>46226</v>
      </c>
      <c r="B85" s="5">
        <v>46219</v>
      </c>
      <c r="C85" s="5">
        <v>46234</v>
      </c>
      <c r="D85" s="6">
        <v>2</v>
      </c>
      <c r="E85" t="s">
        <v>11</v>
      </c>
      <c r="F85" s="2" t="s">
        <v>34</v>
      </c>
      <c r="G85" s="2" t="s">
        <v>50</v>
      </c>
      <c r="H85">
        <f t="shared" si="10"/>
        <v>42.45</v>
      </c>
      <c r="O85">
        <v>1800</v>
      </c>
      <c r="Y85">
        <f>SUM(Gasto_real[[#This Row],[Transporte]:[U2B Premium]])</f>
        <v>1842.45</v>
      </c>
    </row>
    <row r="86" spans="1:25" x14ac:dyDescent="0.3">
      <c r="A86" s="8">
        <v>46227</v>
      </c>
      <c r="B86" s="5">
        <v>46219</v>
      </c>
      <c r="C86" s="5">
        <v>46234</v>
      </c>
      <c r="D86" s="6">
        <v>0</v>
      </c>
      <c r="E86" t="s">
        <v>11</v>
      </c>
      <c r="F86" s="2" t="s">
        <v>34</v>
      </c>
      <c r="G86" s="2" t="s">
        <v>50</v>
      </c>
      <c r="H86">
        <f t="shared" si="10"/>
        <v>42.45</v>
      </c>
      <c r="Y86">
        <f>SUM(Gasto_real[[#This Row],[Transporte]:[U2B Premium]])</f>
        <v>42.45</v>
      </c>
    </row>
    <row r="87" spans="1:25" x14ac:dyDescent="0.3">
      <c r="A87" s="8">
        <v>46228</v>
      </c>
      <c r="B87" s="5">
        <v>46219</v>
      </c>
      <c r="C87" s="5">
        <v>46234</v>
      </c>
      <c r="D87" s="6">
        <v>0</v>
      </c>
      <c r="E87" t="s">
        <v>11</v>
      </c>
      <c r="F87" s="2" t="s">
        <v>34</v>
      </c>
      <c r="G87" s="2" t="s">
        <v>50</v>
      </c>
      <c r="H87">
        <f t="shared" si="10"/>
        <v>42.45</v>
      </c>
      <c r="Y87">
        <f>SUM(Gasto_real[[#This Row],[Transporte]:[U2B Premium]])</f>
        <v>42.45</v>
      </c>
    </row>
    <row r="88" spans="1:25" x14ac:dyDescent="0.3">
      <c r="A88" s="8">
        <v>46229</v>
      </c>
      <c r="B88" s="5">
        <v>46219</v>
      </c>
      <c r="C88" s="5">
        <v>46234</v>
      </c>
      <c r="D88" s="6">
        <v>0</v>
      </c>
      <c r="E88" t="s">
        <v>11</v>
      </c>
      <c r="F88" s="2" t="s">
        <v>34</v>
      </c>
      <c r="G88" s="2" t="s">
        <v>50</v>
      </c>
      <c r="Y88">
        <f>SUM(Gasto_real[[#This Row],[Transporte]:[U2B Premium]])</f>
        <v>0</v>
      </c>
    </row>
    <row r="89" spans="1:25" x14ac:dyDescent="0.3">
      <c r="A89" s="8">
        <v>46230</v>
      </c>
      <c r="B89" s="5">
        <v>46219</v>
      </c>
      <c r="C89" s="5">
        <v>46234</v>
      </c>
      <c r="D89" s="6">
        <v>0</v>
      </c>
      <c r="E89" t="s">
        <v>11</v>
      </c>
      <c r="F89" s="2" t="s">
        <v>34</v>
      </c>
      <c r="G89" s="2" t="s">
        <v>50</v>
      </c>
      <c r="H89">
        <f t="shared" ref="H89:H94" si="11">16.7+7.5+9.9+8.35</f>
        <v>42.45</v>
      </c>
      <c r="Y89">
        <f>SUM(Gasto_real[[#This Row],[Transporte]:[U2B Premium]])</f>
        <v>42.45</v>
      </c>
    </row>
    <row r="90" spans="1:25" x14ac:dyDescent="0.3">
      <c r="A90" s="8">
        <v>46231</v>
      </c>
      <c r="B90" s="5">
        <v>46219</v>
      </c>
      <c r="C90" s="5">
        <v>46234</v>
      </c>
      <c r="D90" s="6">
        <v>0</v>
      </c>
      <c r="E90" t="s">
        <v>11</v>
      </c>
      <c r="F90" s="2" t="s">
        <v>34</v>
      </c>
      <c r="G90" s="2" t="s">
        <v>50</v>
      </c>
      <c r="H90">
        <f t="shared" si="11"/>
        <v>42.45</v>
      </c>
      <c r="Y90">
        <f>SUM(Gasto_real[[#This Row],[Transporte]:[U2B Premium]])</f>
        <v>42.45</v>
      </c>
    </row>
    <row r="91" spans="1:25" x14ac:dyDescent="0.3">
      <c r="A91" s="8">
        <v>46232</v>
      </c>
      <c r="B91" s="5">
        <v>46219</v>
      </c>
      <c r="C91" s="5">
        <v>46234</v>
      </c>
      <c r="D91" s="6">
        <v>0</v>
      </c>
      <c r="E91" t="s">
        <v>11</v>
      </c>
      <c r="F91" s="2" t="s">
        <v>34</v>
      </c>
      <c r="G91" s="2" t="s">
        <v>50</v>
      </c>
      <c r="H91">
        <f t="shared" si="11"/>
        <v>42.45</v>
      </c>
      <c r="Y91">
        <f>SUM(Gasto_real[[#This Row],[Transporte]:[U2B Premium]])</f>
        <v>42.45</v>
      </c>
    </row>
    <row r="92" spans="1:25" x14ac:dyDescent="0.3">
      <c r="A92" s="8">
        <v>46233</v>
      </c>
      <c r="B92" s="5">
        <v>46219</v>
      </c>
      <c r="C92" s="5">
        <v>46234</v>
      </c>
      <c r="D92" s="6">
        <v>0</v>
      </c>
      <c r="E92" t="s">
        <v>11</v>
      </c>
      <c r="F92" s="2" t="s">
        <v>34</v>
      </c>
      <c r="G92" s="2" t="s">
        <v>50</v>
      </c>
      <c r="H92">
        <f t="shared" si="11"/>
        <v>42.45</v>
      </c>
      <c r="Y92">
        <f>SUM(Gasto_real[[#This Row],[Transporte]:[U2B Premium]])</f>
        <v>42.45</v>
      </c>
    </row>
    <row r="93" spans="1:25" x14ac:dyDescent="0.3">
      <c r="A93" s="8">
        <v>46234</v>
      </c>
      <c r="B93" s="5">
        <v>46219</v>
      </c>
      <c r="C93" s="5">
        <v>46234</v>
      </c>
      <c r="D93" s="6">
        <v>0</v>
      </c>
      <c r="E93" t="s">
        <v>11</v>
      </c>
      <c r="F93" s="2" t="s">
        <v>34</v>
      </c>
      <c r="G93" s="2" t="s">
        <v>50</v>
      </c>
      <c r="H93">
        <f t="shared" si="11"/>
        <v>42.45</v>
      </c>
      <c r="Y93">
        <f>SUM(Gasto_real[[#This Row],[Transporte]:[U2B Premium]])</f>
        <v>42.45</v>
      </c>
    </row>
    <row r="94" spans="1:25" x14ac:dyDescent="0.3">
      <c r="A94" s="8">
        <v>46235</v>
      </c>
      <c r="B94" s="5">
        <v>46235</v>
      </c>
      <c r="C94" s="5">
        <v>46249</v>
      </c>
      <c r="D94" s="6">
        <v>1</v>
      </c>
      <c r="E94" t="s">
        <v>12</v>
      </c>
      <c r="F94" s="2" t="s">
        <v>34</v>
      </c>
      <c r="G94" s="2" t="s">
        <v>50</v>
      </c>
      <c r="H94">
        <f t="shared" si="11"/>
        <v>42.45</v>
      </c>
      <c r="M94">
        <v>600</v>
      </c>
      <c r="O94">
        <v>1800</v>
      </c>
      <c r="R94">
        <v>70</v>
      </c>
      <c r="S94">
        <v>70</v>
      </c>
      <c r="Y94">
        <f>SUM(Gasto_real[[#This Row],[Transporte]:[U2B Premium]])</f>
        <v>2582.4499999999998</v>
      </c>
    </row>
    <row r="95" spans="1:25" x14ac:dyDescent="0.3">
      <c r="A95" s="8">
        <v>46236</v>
      </c>
      <c r="B95" s="5">
        <v>46235</v>
      </c>
      <c r="C95" s="5">
        <v>46249</v>
      </c>
      <c r="D95" s="6">
        <v>0</v>
      </c>
      <c r="E95" t="s">
        <v>12</v>
      </c>
      <c r="F95" s="2" t="s">
        <v>34</v>
      </c>
      <c r="G95" s="2" t="s">
        <v>50</v>
      </c>
      <c r="Y95">
        <f>SUM(Gasto_real[[#This Row],[Transporte]:[U2B Premium]])</f>
        <v>0</v>
      </c>
    </row>
    <row r="96" spans="1:25" x14ac:dyDescent="0.3">
      <c r="A96" s="8">
        <v>46237</v>
      </c>
      <c r="B96" s="5">
        <v>46235</v>
      </c>
      <c r="C96" s="5">
        <v>46249</v>
      </c>
      <c r="D96" s="6">
        <v>0</v>
      </c>
      <c r="E96" t="s">
        <v>12</v>
      </c>
      <c r="F96" s="2" t="s">
        <v>34</v>
      </c>
      <c r="G96" s="2" t="s">
        <v>50</v>
      </c>
      <c r="H96">
        <f t="shared" ref="H96:H101" si="12">16.7+7.5+9.9+8.35</f>
        <v>42.45</v>
      </c>
      <c r="Y96">
        <f>SUM(Gasto_real[[#This Row],[Transporte]:[U2B Premium]])</f>
        <v>42.45</v>
      </c>
    </row>
    <row r="97" spans="1:25" x14ac:dyDescent="0.3">
      <c r="A97" s="8">
        <v>46238</v>
      </c>
      <c r="B97" s="5">
        <v>46235</v>
      </c>
      <c r="C97" s="5">
        <v>46249</v>
      </c>
      <c r="D97" s="6">
        <v>0</v>
      </c>
      <c r="E97" t="s">
        <v>12</v>
      </c>
      <c r="F97" s="2" t="s">
        <v>34</v>
      </c>
      <c r="G97" s="2" t="s">
        <v>50</v>
      </c>
      <c r="H97">
        <f t="shared" si="12"/>
        <v>42.45</v>
      </c>
      <c r="Y97">
        <f>SUM(Gasto_real[[#This Row],[Transporte]:[U2B Premium]])</f>
        <v>42.45</v>
      </c>
    </row>
    <row r="98" spans="1:25" x14ac:dyDescent="0.3">
      <c r="A98" s="8">
        <v>46239</v>
      </c>
      <c r="B98" s="5">
        <v>46235</v>
      </c>
      <c r="C98" s="5">
        <v>46249</v>
      </c>
      <c r="D98" s="6">
        <v>0</v>
      </c>
      <c r="E98" t="s">
        <v>12</v>
      </c>
      <c r="F98" s="2" t="s">
        <v>34</v>
      </c>
      <c r="G98" s="2" t="s">
        <v>50</v>
      </c>
      <c r="H98">
        <f t="shared" si="12"/>
        <v>42.45</v>
      </c>
      <c r="Y98">
        <f>SUM(Gasto_real[[#This Row],[Transporte]:[U2B Premium]])</f>
        <v>42.45</v>
      </c>
    </row>
    <row r="99" spans="1:25" x14ac:dyDescent="0.3">
      <c r="A99" s="8">
        <v>46240</v>
      </c>
      <c r="B99" s="5">
        <v>46235</v>
      </c>
      <c r="C99" s="5">
        <v>46249</v>
      </c>
      <c r="D99" s="6">
        <v>0</v>
      </c>
      <c r="E99" t="s">
        <v>12</v>
      </c>
      <c r="F99" s="2" t="s">
        <v>34</v>
      </c>
      <c r="G99" s="2" t="s">
        <v>50</v>
      </c>
      <c r="H99">
        <f t="shared" si="12"/>
        <v>42.45</v>
      </c>
      <c r="Y99">
        <f>SUM(Gasto_real[[#This Row],[Transporte]:[U2B Premium]])</f>
        <v>42.45</v>
      </c>
    </row>
    <row r="100" spans="1:25" x14ac:dyDescent="0.3">
      <c r="A100" s="8">
        <v>46241</v>
      </c>
      <c r="B100" s="5">
        <v>46235</v>
      </c>
      <c r="C100" s="5">
        <v>46249</v>
      </c>
      <c r="D100" s="6">
        <v>0</v>
      </c>
      <c r="E100" t="s">
        <v>12</v>
      </c>
      <c r="F100" s="2" t="s">
        <v>34</v>
      </c>
      <c r="G100" s="2" t="s">
        <v>50</v>
      </c>
      <c r="H100">
        <f t="shared" si="12"/>
        <v>42.45</v>
      </c>
      <c r="Y100">
        <f>SUM(Gasto_real[[#This Row],[Transporte]:[U2B Premium]])</f>
        <v>42.45</v>
      </c>
    </row>
    <row r="101" spans="1:25" x14ac:dyDescent="0.3">
      <c r="A101" s="8">
        <v>46242</v>
      </c>
      <c r="B101" s="5">
        <v>46235</v>
      </c>
      <c r="C101" s="5">
        <v>46249</v>
      </c>
      <c r="D101" s="6">
        <v>2</v>
      </c>
      <c r="E101" t="s">
        <v>12</v>
      </c>
      <c r="F101" s="2" t="s">
        <v>34</v>
      </c>
      <c r="G101" s="2" t="s">
        <v>50</v>
      </c>
      <c r="H101">
        <f t="shared" si="12"/>
        <v>42.45</v>
      </c>
      <c r="O101">
        <v>1800</v>
      </c>
      <c r="Y101">
        <f>SUM(Gasto_real[[#This Row],[Transporte]:[U2B Premium]])</f>
        <v>1842.45</v>
      </c>
    </row>
    <row r="102" spans="1:25" x14ac:dyDescent="0.3">
      <c r="A102" s="8">
        <v>46243</v>
      </c>
      <c r="B102" s="5">
        <v>46235</v>
      </c>
      <c r="C102" s="5">
        <v>46249</v>
      </c>
      <c r="D102" s="6">
        <v>0</v>
      </c>
      <c r="E102" t="s">
        <v>12</v>
      </c>
      <c r="F102" s="2" t="s">
        <v>34</v>
      </c>
      <c r="G102" s="2" t="s">
        <v>50</v>
      </c>
      <c r="Y102">
        <f>SUM(Gasto_real[[#This Row],[Transporte]:[U2B Premium]])</f>
        <v>0</v>
      </c>
    </row>
    <row r="103" spans="1:25" x14ac:dyDescent="0.3">
      <c r="A103" s="8">
        <v>46244</v>
      </c>
      <c r="B103" s="5">
        <v>46235</v>
      </c>
      <c r="C103" s="5">
        <v>46249</v>
      </c>
      <c r="D103" s="6">
        <v>0</v>
      </c>
      <c r="E103" t="s">
        <v>12</v>
      </c>
      <c r="F103" s="2" t="s">
        <v>34</v>
      </c>
      <c r="G103" s="2" t="s">
        <v>50</v>
      </c>
      <c r="H103">
        <f t="shared" ref="H103:H108" si="13">16.7+7.5+9.9+8.35</f>
        <v>42.45</v>
      </c>
      <c r="Y103">
        <f>SUM(Gasto_real[[#This Row],[Transporte]:[U2B Premium]])</f>
        <v>42.45</v>
      </c>
    </row>
    <row r="104" spans="1:25" x14ac:dyDescent="0.3">
      <c r="A104" s="8">
        <v>46245</v>
      </c>
      <c r="B104" s="5">
        <v>46235</v>
      </c>
      <c r="C104" s="5">
        <v>46249</v>
      </c>
      <c r="D104" s="6">
        <v>0</v>
      </c>
      <c r="E104" t="s">
        <v>12</v>
      </c>
      <c r="F104" s="2" t="s">
        <v>34</v>
      </c>
      <c r="G104" s="2" t="s">
        <v>50</v>
      </c>
      <c r="H104">
        <f t="shared" si="13"/>
        <v>42.45</v>
      </c>
      <c r="Y104">
        <f>SUM(Gasto_real[[#This Row],[Transporte]:[U2B Premium]])</f>
        <v>42.45</v>
      </c>
    </row>
    <row r="105" spans="1:25" x14ac:dyDescent="0.3">
      <c r="A105" s="8">
        <v>46246</v>
      </c>
      <c r="B105" s="5">
        <v>46235</v>
      </c>
      <c r="C105" s="5">
        <v>46249</v>
      </c>
      <c r="D105" s="6">
        <v>0</v>
      </c>
      <c r="E105" t="s">
        <v>12</v>
      </c>
      <c r="F105" s="2" t="s">
        <v>34</v>
      </c>
      <c r="G105" s="2" t="s">
        <v>50</v>
      </c>
      <c r="H105">
        <f t="shared" si="13"/>
        <v>42.45</v>
      </c>
      <c r="Y105">
        <f>SUM(Gasto_real[[#This Row],[Transporte]:[U2B Premium]])</f>
        <v>42.45</v>
      </c>
    </row>
    <row r="106" spans="1:25" x14ac:dyDescent="0.3">
      <c r="A106" s="8">
        <v>46247</v>
      </c>
      <c r="B106" s="5">
        <v>46235</v>
      </c>
      <c r="C106" s="5">
        <v>46249</v>
      </c>
      <c r="D106" s="6">
        <v>0</v>
      </c>
      <c r="E106" t="s">
        <v>12</v>
      </c>
      <c r="F106" s="2" t="s">
        <v>34</v>
      </c>
      <c r="G106" s="2" t="s">
        <v>50</v>
      </c>
      <c r="H106">
        <f t="shared" si="13"/>
        <v>42.45</v>
      </c>
      <c r="Y106">
        <f>SUM(Gasto_real[[#This Row],[Transporte]:[U2B Premium]])</f>
        <v>42.45</v>
      </c>
    </row>
    <row r="107" spans="1:25" x14ac:dyDescent="0.3">
      <c r="A107" s="8">
        <v>46248</v>
      </c>
      <c r="B107" s="5">
        <v>46235</v>
      </c>
      <c r="C107" s="5">
        <v>46249</v>
      </c>
      <c r="D107" s="6">
        <v>0</v>
      </c>
      <c r="E107" t="s">
        <v>12</v>
      </c>
      <c r="F107" s="2" t="s">
        <v>34</v>
      </c>
      <c r="G107" s="2" t="s">
        <v>50</v>
      </c>
      <c r="H107">
        <f t="shared" si="13"/>
        <v>42.45</v>
      </c>
      <c r="Y107">
        <f>SUM(Gasto_real[[#This Row],[Transporte]:[U2B Premium]])</f>
        <v>42.45</v>
      </c>
    </row>
    <row r="108" spans="1:25" x14ac:dyDescent="0.3">
      <c r="A108" s="8">
        <v>46249</v>
      </c>
      <c r="B108" s="5">
        <v>46235</v>
      </c>
      <c r="C108" s="5">
        <v>46249</v>
      </c>
      <c r="D108" s="6">
        <v>0</v>
      </c>
      <c r="E108" t="s">
        <v>12</v>
      </c>
      <c r="F108" s="2" t="s">
        <v>34</v>
      </c>
      <c r="G108" s="2" t="s">
        <v>50</v>
      </c>
      <c r="H108">
        <f t="shared" si="13"/>
        <v>42.45</v>
      </c>
      <c r="Y108">
        <f>SUM(Gasto_real[[#This Row],[Transporte]:[U2B Premium]])</f>
        <v>42.45</v>
      </c>
    </row>
    <row r="109" spans="1:25" x14ac:dyDescent="0.3">
      <c r="A109" s="8">
        <v>46250</v>
      </c>
      <c r="B109" s="5">
        <v>46250</v>
      </c>
      <c r="C109" s="5">
        <v>46265</v>
      </c>
      <c r="D109" s="6">
        <v>1</v>
      </c>
      <c r="E109" t="s">
        <v>13</v>
      </c>
      <c r="F109" s="2" t="s">
        <v>34</v>
      </c>
      <c r="G109" s="2" t="s">
        <v>50</v>
      </c>
      <c r="I109">
        <v>450</v>
      </c>
      <c r="J109">
        <v>449</v>
      </c>
      <c r="K109">
        <v>239</v>
      </c>
      <c r="L109">
        <v>139</v>
      </c>
      <c r="O109">
        <v>1800</v>
      </c>
      <c r="Q109">
        <v>70</v>
      </c>
      <c r="T109">
        <v>321</v>
      </c>
      <c r="Y109">
        <f>SUM(Gasto_real[[#This Row],[Transporte]:[U2B Premium]])</f>
        <v>3468</v>
      </c>
    </row>
    <row r="110" spans="1:25" x14ac:dyDescent="0.3">
      <c r="A110" s="8">
        <v>46251</v>
      </c>
      <c r="B110" s="5">
        <v>46250</v>
      </c>
      <c r="C110" s="5">
        <v>46265</v>
      </c>
      <c r="D110" s="6">
        <v>0</v>
      </c>
      <c r="E110" t="s">
        <v>13</v>
      </c>
      <c r="F110" s="2" t="s">
        <v>34</v>
      </c>
      <c r="G110" s="2" t="s">
        <v>50</v>
      </c>
      <c r="H110">
        <f t="shared" ref="H110:H115" si="14">16.7+7.5+9.9+8.35</f>
        <v>42.45</v>
      </c>
      <c r="Y110">
        <f>SUM(Gasto_real[[#This Row],[Transporte]:[U2B Premium]])</f>
        <v>42.45</v>
      </c>
    </row>
    <row r="111" spans="1:25" x14ac:dyDescent="0.3">
      <c r="A111" s="8">
        <v>46252</v>
      </c>
      <c r="B111" s="5">
        <v>46250</v>
      </c>
      <c r="C111" s="5">
        <v>46265</v>
      </c>
      <c r="D111" s="6">
        <v>0</v>
      </c>
      <c r="E111" t="s">
        <v>13</v>
      </c>
      <c r="F111" s="2" t="s">
        <v>34</v>
      </c>
      <c r="G111" s="2" t="s">
        <v>50</v>
      </c>
      <c r="H111">
        <f t="shared" si="14"/>
        <v>42.45</v>
      </c>
      <c r="Y111">
        <f>SUM(Gasto_real[[#This Row],[Transporte]:[U2B Premium]])</f>
        <v>42.45</v>
      </c>
    </row>
    <row r="112" spans="1:25" x14ac:dyDescent="0.3">
      <c r="A112" s="8">
        <v>46253</v>
      </c>
      <c r="B112" s="5">
        <v>46250</v>
      </c>
      <c r="C112" s="5">
        <v>46265</v>
      </c>
      <c r="D112" s="6">
        <v>0</v>
      </c>
      <c r="E112" t="s">
        <v>13</v>
      </c>
      <c r="F112" s="2" t="s">
        <v>34</v>
      </c>
      <c r="G112" s="2" t="s">
        <v>50</v>
      </c>
      <c r="H112">
        <f t="shared" si="14"/>
        <v>42.45</v>
      </c>
      <c r="Y112">
        <f>SUM(Gasto_real[[#This Row],[Transporte]:[U2B Premium]])</f>
        <v>42.45</v>
      </c>
    </row>
    <row r="113" spans="1:25" x14ac:dyDescent="0.3">
      <c r="A113" s="8">
        <v>46254</v>
      </c>
      <c r="B113" s="5">
        <v>46250</v>
      </c>
      <c r="C113" s="5">
        <v>46265</v>
      </c>
      <c r="D113" s="6">
        <v>0</v>
      </c>
      <c r="E113" t="s">
        <v>13</v>
      </c>
      <c r="F113" s="2" t="s">
        <v>34</v>
      </c>
      <c r="G113" s="2" t="s">
        <v>50</v>
      </c>
      <c r="H113">
        <f t="shared" si="14"/>
        <v>42.45</v>
      </c>
      <c r="Y113">
        <f>SUM(Gasto_real[[#This Row],[Transporte]:[U2B Premium]])</f>
        <v>42.45</v>
      </c>
    </row>
    <row r="114" spans="1:25" x14ac:dyDescent="0.3">
      <c r="A114" s="8">
        <v>46255</v>
      </c>
      <c r="B114" s="5">
        <v>46250</v>
      </c>
      <c r="C114" s="5">
        <v>46265</v>
      </c>
      <c r="D114" s="6">
        <v>0</v>
      </c>
      <c r="E114" t="s">
        <v>13</v>
      </c>
      <c r="F114" s="2" t="s">
        <v>34</v>
      </c>
      <c r="G114" s="2" t="s">
        <v>50</v>
      </c>
      <c r="H114">
        <f t="shared" si="14"/>
        <v>42.45</v>
      </c>
      <c r="Y114">
        <f>SUM(Gasto_real[[#This Row],[Transporte]:[U2B Premium]])</f>
        <v>42.45</v>
      </c>
    </row>
    <row r="115" spans="1:25" x14ac:dyDescent="0.3">
      <c r="A115" s="8">
        <v>46256</v>
      </c>
      <c r="B115" s="5">
        <v>46250</v>
      </c>
      <c r="C115" s="5">
        <v>46265</v>
      </c>
      <c r="D115" s="6">
        <v>0</v>
      </c>
      <c r="E115" t="s">
        <v>13</v>
      </c>
      <c r="F115" s="2" t="s">
        <v>34</v>
      </c>
      <c r="G115" s="2" t="s">
        <v>50</v>
      </c>
      <c r="H115">
        <f t="shared" si="14"/>
        <v>42.45</v>
      </c>
      <c r="Y115">
        <f>SUM(Gasto_real[[#This Row],[Transporte]:[U2B Premium]])</f>
        <v>42.45</v>
      </c>
    </row>
    <row r="116" spans="1:25" x14ac:dyDescent="0.3">
      <c r="A116" s="8">
        <v>46257</v>
      </c>
      <c r="B116" s="5">
        <v>46250</v>
      </c>
      <c r="C116" s="5">
        <v>46265</v>
      </c>
      <c r="D116" s="6">
        <v>2</v>
      </c>
      <c r="E116" t="s">
        <v>13</v>
      </c>
      <c r="F116" s="2" t="s">
        <v>34</v>
      </c>
      <c r="G116" s="2" t="s">
        <v>50</v>
      </c>
      <c r="O116">
        <v>1800</v>
      </c>
      <c r="Y116">
        <f>SUM(Gasto_real[[#This Row],[Transporte]:[U2B Premium]])</f>
        <v>1800</v>
      </c>
    </row>
    <row r="117" spans="1:25" x14ac:dyDescent="0.3">
      <c r="A117" s="8">
        <v>46258</v>
      </c>
      <c r="B117" s="5">
        <v>46250</v>
      </c>
      <c r="C117" s="5">
        <v>46265</v>
      </c>
      <c r="D117" s="6">
        <v>0</v>
      </c>
      <c r="E117" t="s">
        <v>13</v>
      </c>
      <c r="F117" s="2" t="s">
        <v>34</v>
      </c>
      <c r="G117" s="2" t="s">
        <v>50</v>
      </c>
      <c r="H117">
        <f t="shared" ref="H117:H122" si="15">16.7+7.5+9.9+8.35</f>
        <v>42.45</v>
      </c>
      <c r="Y117">
        <f>SUM(Gasto_real[[#This Row],[Transporte]:[U2B Premium]])</f>
        <v>42.45</v>
      </c>
    </row>
    <row r="118" spans="1:25" x14ac:dyDescent="0.3">
      <c r="A118" s="8">
        <v>46259</v>
      </c>
      <c r="B118" s="5">
        <v>46250</v>
      </c>
      <c r="C118" s="5">
        <v>46265</v>
      </c>
      <c r="D118" s="6">
        <v>0</v>
      </c>
      <c r="E118" t="s">
        <v>13</v>
      </c>
      <c r="F118" s="2" t="s">
        <v>34</v>
      </c>
      <c r="G118" s="2" t="s">
        <v>50</v>
      </c>
      <c r="H118">
        <f t="shared" si="15"/>
        <v>42.45</v>
      </c>
      <c r="Y118">
        <f>SUM(Gasto_real[[#This Row],[Transporte]:[U2B Premium]])</f>
        <v>42.45</v>
      </c>
    </row>
    <row r="119" spans="1:25" x14ac:dyDescent="0.3">
      <c r="A119" s="8">
        <v>46260</v>
      </c>
      <c r="B119" s="5">
        <v>46250</v>
      </c>
      <c r="C119" s="5">
        <v>46265</v>
      </c>
      <c r="D119" s="6">
        <v>0</v>
      </c>
      <c r="E119" t="s">
        <v>13</v>
      </c>
      <c r="F119" s="2" t="s">
        <v>34</v>
      </c>
      <c r="G119" s="2" t="s">
        <v>50</v>
      </c>
      <c r="H119">
        <f t="shared" si="15"/>
        <v>42.45</v>
      </c>
      <c r="Y119">
        <f>SUM(Gasto_real[[#This Row],[Transporte]:[U2B Premium]])</f>
        <v>42.45</v>
      </c>
    </row>
    <row r="120" spans="1:25" x14ac:dyDescent="0.3">
      <c r="A120" s="8">
        <v>46261</v>
      </c>
      <c r="B120" s="5">
        <v>46250</v>
      </c>
      <c r="C120" s="5">
        <v>46265</v>
      </c>
      <c r="D120" s="6">
        <v>0</v>
      </c>
      <c r="E120" t="s">
        <v>13</v>
      </c>
      <c r="F120" s="2" t="s">
        <v>34</v>
      </c>
      <c r="G120" s="2" t="s">
        <v>50</v>
      </c>
      <c r="H120">
        <f t="shared" si="15"/>
        <v>42.45</v>
      </c>
      <c r="Y120">
        <f>SUM(Gasto_real[[#This Row],[Transporte]:[U2B Premium]])</f>
        <v>42.45</v>
      </c>
    </row>
    <row r="121" spans="1:25" x14ac:dyDescent="0.3">
      <c r="A121" s="8">
        <v>46262</v>
      </c>
      <c r="B121" s="5">
        <v>46250</v>
      </c>
      <c r="C121" s="5">
        <v>46265</v>
      </c>
      <c r="D121" s="6">
        <v>0</v>
      </c>
      <c r="E121" t="s">
        <v>13</v>
      </c>
      <c r="F121" s="2" t="s">
        <v>34</v>
      </c>
      <c r="G121" s="2" t="s">
        <v>50</v>
      </c>
      <c r="H121">
        <f t="shared" si="15"/>
        <v>42.45</v>
      </c>
      <c r="Y121">
        <f>SUM(Gasto_real[[#This Row],[Transporte]:[U2B Premium]])</f>
        <v>42.45</v>
      </c>
    </row>
    <row r="122" spans="1:25" x14ac:dyDescent="0.3">
      <c r="A122" s="8">
        <v>46263</v>
      </c>
      <c r="B122" s="5">
        <v>46250</v>
      </c>
      <c r="C122" s="5">
        <v>46265</v>
      </c>
      <c r="D122" s="6">
        <v>0</v>
      </c>
      <c r="E122" t="s">
        <v>13</v>
      </c>
      <c r="F122" s="2" t="s">
        <v>34</v>
      </c>
      <c r="G122" s="2" t="s">
        <v>50</v>
      </c>
      <c r="H122">
        <f t="shared" si="15"/>
        <v>42.45</v>
      </c>
      <c r="Y122">
        <f>SUM(Gasto_real[[#This Row],[Transporte]:[U2B Premium]])</f>
        <v>42.45</v>
      </c>
    </row>
    <row r="123" spans="1:25" x14ac:dyDescent="0.3">
      <c r="A123" s="8">
        <v>46264</v>
      </c>
      <c r="B123" s="5">
        <v>46250</v>
      </c>
      <c r="C123" s="5">
        <v>46265</v>
      </c>
      <c r="D123" s="6">
        <v>0</v>
      </c>
      <c r="E123" t="s">
        <v>13</v>
      </c>
      <c r="F123" s="2" t="s">
        <v>34</v>
      </c>
      <c r="G123" s="2" t="s">
        <v>50</v>
      </c>
      <c r="Y123">
        <f>SUM(Gasto_real[[#This Row],[Transporte]:[U2B Premium]])</f>
        <v>0</v>
      </c>
    </row>
    <row r="124" spans="1:25" x14ac:dyDescent="0.3">
      <c r="A124" s="8">
        <v>46265</v>
      </c>
      <c r="B124" s="5">
        <v>46250</v>
      </c>
      <c r="C124" s="5">
        <v>46265</v>
      </c>
      <c r="D124" s="6">
        <v>0</v>
      </c>
      <c r="E124" t="s">
        <v>13</v>
      </c>
      <c r="F124" s="2" t="s">
        <v>34</v>
      </c>
      <c r="G124" s="2" t="s">
        <v>50</v>
      </c>
      <c r="H124">
        <f t="shared" ref="H124:H129" si="16">16.7+7.5+9.9+8.35</f>
        <v>42.45</v>
      </c>
      <c r="Y124">
        <f>SUM(Gasto_real[[#This Row],[Transporte]:[U2B Premium]])</f>
        <v>42.45</v>
      </c>
    </row>
    <row r="125" spans="1:25" x14ac:dyDescent="0.3">
      <c r="A125" s="8">
        <v>46266</v>
      </c>
      <c r="B125" s="5">
        <v>46266</v>
      </c>
      <c r="C125" s="5">
        <v>46280</v>
      </c>
      <c r="D125" s="6">
        <v>1</v>
      </c>
      <c r="E125" t="s">
        <v>14</v>
      </c>
      <c r="F125" s="2" t="s">
        <v>34</v>
      </c>
      <c r="G125" s="2" t="s">
        <v>50</v>
      </c>
      <c r="H125">
        <f t="shared" si="16"/>
        <v>42.45</v>
      </c>
      <c r="N125">
        <v>1400</v>
      </c>
      <c r="O125">
        <v>1800</v>
      </c>
      <c r="R125">
        <v>70</v>
      </c>
      <c r="S125">
        <v>70</v>
      </c>
      <c r="Y125">
        <f>SUM(Gasto_real[[#This Row],[Transporte]:[U2B Premium]])</f>
        <v>3382.45</v>
      </c>
    </row>
    <row r="126" spans="1:25" x14ac:dyDescent="0.3">
      <c r="A126" s="8">
        <v>46267</v>
      </c>
      <c r="B126" s="5">
        <v>46266</v>
      </c>
      <c r="C126" s="5">
        <v>46280</v>
      </c>
      <c r="D126" s="6">
        <v>0</v>
      </c>
      <c r="E126" t="s">
        <v>14</v>
      </c>
      <c r="F126" s="2" t="s">
        <v>34</v>
      </c>
      <c r="G126" s="2" t="s">
        <v>50</v>
      </c>
      <c r="H126">
        <f t="shared" si="16"/>
        <v>42.45</v>
      </c>
      <c r="Y126">
        <f>SUM(Gasto_real[[#This Row],[Transporte]:[U2B Premium]])</f>
        <v>42.45</v>
      </c>
    </row>
    <row r="127" spans="1:25" x14ac:dyDescent="0.3">
      <c r="A127" s="8">
        <v>46268</v>
      </c>
      <c r="B127" s="5">
        <v>46266</v>
      </c>
      <c r="C127" s="5">
        <v>46280</v>
      </c>
      <c r="D127" s="6">
        <v>0</v>
      </c>
      <c r="E127" t="s">
        <v>14</v>
      </c>
      <c r="F127" s="2" t="s">
        <v>34</v>
      </c>
      <c r="G127" s="2" t="s">
        <v>50</v>
      </c>
      <c r="H127">
        <f t="shared" si="16"/>
        <v>42.45</v>
      </c>
      <c r="Y127">
        <f>SUM(Gasto_real[[#This Row],[Transporte]:[U2B Premium]])</f>
        <v>42.45</v>
      </c>
    </row>
    <row r="128" spans="1:25" x14ac:dyDescent="0.3">
      <c r="A128" s="8">
        <v>46269</v>
      </c>
      <c r="B128" s="5">
        <v>46266</v>
      </c>
      <c r="C128" s="5">
        <v>46280</v>
      </c>
      <c r="D128" s="6">
        <v>0</v>
      </c>
      <c r="E128" t="s">
        <v>14</v>
      </c>
      <c r="F128" s="2" t="s">
        <v>34</v>
      </c>
      <c r="G128" s="2" t="s">
        <v>50</v>
      </c>
      <c r="H128">
        <f t="shared" si="16"/>
        <v>42.45</v>
      </c>
      <c r="Y128">
        <f>SUM(Gasto_real[[#This Row],[Transporte]:[U2B Premium]])</f>
        <v>42.45</v>
      </c>
    </row>
    <row r="129" spans="1:25" x14ac:dyDescent="0.3">
      <c r="A129" s="8">
        <v>46270</v>
      </c>
      <c r="B129" s="5">
        <v>46266</v>
      </c>
      <c r="C129" s="5">
        <v>46280</v>
      </c>
      <c r="D129" s="6">
        <v>0</v>
      </c>
      <c r="E129" t="s">
        <v>14</v>
      </c>
      <c r="F129" s="2" t="s">
        <v>34</v>
      </c>
      <c r="G129" s="2" t="s">
        <v>50</v>
      </c>
      <c r="H129">
        <f t="shared" si="16"/>
        <v>42.45</v>
      </c>
      <c r="Y129">
        <f>SUM(Gasto_real[[#This Row],[Transporte]:[U2B Premium]])</f>
        <v>42.45</v>
      </c>
    </row>
    <row r="130" spans="1:25" x14ac:dyDescent="0.3">
      <c r="A130" s="8">
        <v>46271</v>
      </c>
      <c r="B130" s="5">
        <v>46266</v>
      </c>
      <c r="C130" s="5">
        <v>46280</v>
      </c>
      <c r="D130" s="6">
        <v>0</v>
      </c>
      <c r="E130" t="s">
        <v>14</v>
      </c>
      <c r="F130" s="2" t="s">
        <v>34</v>
      </c>
      <c r="G130" s="2" t="s">
        <v>50</v>
      </c>
      <c r="Y130">
        <f>SUM(Gasto_real[[#This Row],[Transporte]:[U2B Premium]])</f>
        <v>0</v>
      </c>
    </row>
    <row r="131" spans="1:25" x14ac:dyDescent="0.3">
      <c r="A131" s="8">
        <v>46272</v>
      </c>
      <c r="B131" s="5">
        <v>46266</v>
      </c>
      <c r="C131" s="5">
        <v>46280</v>
      </c>
      <c r="D131" s="6">
        <v>0</v>
      </c>
      <c r="E131" t="s">
        <v>14</v>
      </c>
      <c r="F131" s="2" t="s">
        <v>34</v>
      </c>
      <c r="G131" s="2" t="s">
        <v>50</v>
      </c>
      <c r="H131">
        <f t="shared" ref="H131:H136" si="17">16.7+7.5+9.9+8.35</f>
        <v>42.45</v>
      </c>
      <c r="Y131">
        <f>SUM(Gasto_real[[#This Row],[Transporte]:[U2B Premium]])</f>
        <v>42.45</v>
      </c>
    </row>
    <row r="132" spans="1:25" x14ac:dyDescent="0.3">
      <c r="A132" s="8">
        <v>46273</v>
      </c>
      <c r="B132" s="5">
        <v>46266</v>
      </c>
      <c r="C132" s="5">
        <v>46280</v>
      </c>
      <c r="D132" s="6">
        <v>2</v>
      </c>
      <c r="E132" t="s">
        <v>14</v>
      </c>
      <c r="F132" s="2" t="s">
        <v>34</v>
      </c>
      <c r="G132" s="2" t="s">
        <v>50</v>
      </c>
      <c r="H132">
        <f t="shared" si="17"/>
        <v>42.45</v>
      </c>
      <c r="O132">
        <v>1800</v>
      </c>
      <c r="Y132">
        <f>SUM(Gasto_real[[#This Row],[Transporte]:[U2B Premium]])</f>
        <v>1842.45</v>
      </c>
    </row>
    <row r="133" spans="1:25" x14ac:dyDescent="0.3">
      <c r="A133" s="8">
        <v>46274</v>
      </c>
      <c r="B133" s="5">
        <v>46266</v>
      </c>
      <c r="C133" s="5">
        <v>46280</v>
      </c>
      <c r="D133" s="6">
        <v>0</v>
      </c>
      <c r="E133" t="s">
        <v>14</v>
      </c>
      <c r="F133" s="2" t="s">
        <v>34</v>
      </c>
      <c r="G133" s="2" t="s">
        <v>50</v>
      </c>
      <c r="H133">
        <f t="shared" si="17"/>
        <v>42.45</v>
      </c>
      <c r="Y133">
        <f>SUM(Gasto_real[[#This Row],[Transporte]:[U2B Premium]])</f>
        <v>42.45</v>
      </c>
    </row>
    <row r="134" spans="1:25" x14ac:dyDescent="0.3">
      <c r="A134" s="8">
        <v>46275</v>
      </c>
      <c r="B134" s="5">
        <v>46266</v>
      </c>
      <c r="C134" s="5">
        <v>46280</v>
      </c>
      <c r="D134" s="6">
        <v>0</v>
      </c>
      <c r="E134" t="s">
        <v>14</v>
      </c>
      <c r="F134" s="2" t="s">
        <v>34</v>
      </c>
      <c r="G134" s="2" t="s">
        <v>50</v>
      </c>
      <c r="H134">
        <f t="shared" si="17"/>
        <v>42.45</v>
      </c>
      <c r="Y134">
        <f>SUM(Gasto_real[[#This Row],[Transporte]:[U2B Premium]])</f>
        <v>42.45</v>
      </c>
    </row>
    <row r="135" spans="1:25" x14ac:dyDescent="0.3">
      <c r="A135" s="8">
        <v>46276</v>
      </c>
      <c r="B135" s="5">
        <v>46266</v>
      </c>
      <c r="C135" s="5">
        <v>46280</v>
      </c>
      <c r="D135" s="6">
        <v>0</v>
      </c>
      <c r="E135" t="s">
        <v>14</v>
      </c>
      <c r="F135" s="2" t="s">
        <v>34</v>
      </c>
      <c r="G135" s="2" t="s">
        <v>50</v>
      </c>
      <c r="H135">
        <f t="shared" si="17"/>
        <v>42.45</v>
      </c>
      <c r="Y135">
        <f>SUM(Gasto_real[[#This Row],[Transporte]:[U2B Premium]])</f>
        <v>42.45</v>
      </c>
    </row>
    <row r="136" spans="1:25" x14ac:dyDescent="0.3">
      <c r="A136" s="8">
        <v>46277</v>
      </c>
      <c r="B136" s="5">
        <v>46266</v>
      </c>
      <c r="C136" s="5">
        <v>46280</v>
      </c>
      <c r="D136" s="6">
        <v>0</v>
      </c>
      <c r="E136" t="s">
        <v>14</v>
      </c>
      <c r="F136" s="2" t="s">
        <v>34</v>
      </c>
      <c r="G136" s="2" t="s">
        <v>50</v>
      </c>
      <c r="H136">
        <f t="shared" si="17"/>
        <v>42.45</v>
      </c>
      <c r="Y136">
        <f>SUM(Gasto_real[[#This Row],[Transporte]:[U2B Premium]])</f>
        <v>42.45</v>
      </c>
    </row>
    <row r="137" spans="1:25" x14ac:dyDescent="0.3">
      <c r="A137" s="8">
        <v>46278</v>
      </c>
      <c r="B137" s="5">
        <v>46266</v>
      </c>
      <c r="C137" s="5">
        <v>46280</v>
      </c>
      <c r="D137" s="6">
        <v>0</v>
      </c>
      <c r="E137" t="s">
        <v>14</v>
      </c>
      <c r="F137" s="2" t="s">
        <v>34</v>
      </c>
      <c r="G137" s="2" t="s">
        <v>50</v>
      </c>
      <c r="Y137">
        <f>SUM(Gasto_real[[#This Row],[Transporte]:[U2B Premium]])</f>
        <v>0</v>
      </c>
    </row>
    <row r="138" spans="1:25" x14ac:dyDescent="0.3">
      <c r="A138" s="8">
        <v>46279</v>
      </c>
      <c r="B138" s="5">
        <v>46266</v>
      </c>
      <c r="C138" s="5">
        <v>46280</v>
      </c>
      <c r="D138" s="6">
        <v>0</v>
      </c>
      <c r="E138" t="s">
        <v>14</v>
      </c>
      <c r="F138" s="2" t="s">
        <v>34</v>
      </c>
      <c r="G138" s="2" t="s">
        <v>50</v>
      </c>
      <c r="H138">
        <f t="shared" ref="H138:H143" si="18">16.7+7.5+9.9+8.35</f>
        <v>42.45</v>
      </c>
      <c r="Y138">
        <f>SUM(Gasto_real[[#This Row],[Transporte]:[U2B Premium]])</f>
        <v>42.45</v>
      </c>
    </row>
    <row r="139" spans="1:25" x14ac:dyDescent="0.3">
      <c r="A139" s="8">
        <v>46280</v>
      </c>
      <c r="B139" s="5">
        <v>46266</v>
      </c>
      <c r="C139" s="5">
        <v>46280</v>
      </c>
      <c r="D139" s="6">
        <v>0</v>
      </c>
      <c r="E139" t="s">
        <v>14</v>
      </c>
      <c r="F139" s="2" t="s">
        <v>34</v>
      </c>
      <c r="G139" s="2" t="s">
        <v>50</v>
      </c>
      <c r="H139">
        <f t="shared" si="18"/>
        <v>42.45</v>
      </c>
      <c r="Y139">
        <f>SUM(Gasto_real[[#This Row],[Transporte]:[U2B Premium]])</f>
        <v>42.45</v>
      </c>
    </row>
    <row r="140" spans="1:25" x14ac:dyDescent="0.3">
      <c r="A140" s="8">
        <v>46281</v>
      </c>
      <c r="B140" s="5">
        <v>46281</v>
      </c>
      <c r="C140" s="5">
        <v>46295</v>
      </c>
      <c r="D140" s="6">
        <v>1</v>
      </c>
      <c r="E140" t="s">
        <v>15</v>
      </c>
      <c r="F140" s="2" t="s">
        <v>34</v>
      </c>
      <c r="G140" s="2" t="s">
        <v>50</v>
      </c>
      <c r="H140">
        <f t="shared" si="18"/>
        <v>42.45</v>
      </c>
      <c r="I140">
        <v>450</v>
      </c>
      <c r="J140">
        <v>449</v>
      </c>
      <c r="K140">
        <v>239</v>
      </c>
      <c r="L140">
        <v>139</v>
      </c>
      <c r="O140">
        <v>1800</v>
      </c>
      <c r="Q140">
        <v>70</v>
      </c>
      <c r="T140">
        <v>321</v>
      </c>
      <c r="Y140">
        <f>SUM(Gasto_real[[#This Row],[Transporte]:[U2B Premium]])</f>
        <v>3510.45</v>
      </c>
    </row>
    <row r="141" spans="1:25" x14ac:dyDescent="0.3">
      <c r="A141" s="8">
        <v>46282</v>
      </c>
      <c r="B141" s="5">
        <v>46281</v>
      </c>
      <c r="C141" s="5">
        <v>46295</v>
      </c>
      <c r="D141" s="6">
        <v>0</v>
      </c>
      <c r="E141" t="s">
        <v>15</v>
      </c>
      <c r="F141" s="2" t="s">
        <v>34</v>
      </c>
      <c r="G141" s="2" t="s">
        <v>50</v>
      </c>
      <c r="H141">
        <f t="shared" si="18"/>
        <v>42.45</v>
      </c>
      <c r="Y141">
        <f>SUM(Gasto_real[[#This Row],[Transporte]:[U2B Premium]])</f>
        <v>42.45</v>
      </c>
    </row>
    <row r="142" spans="1:25" x14ac:dyDescent="0.3">
      <c r="A142" s="8">
        <v>46283</v>
      </c>
      <c r="B142" s="5">
        <v>46281</v>
      </c>
      <c r="C142" s="5">
        <v>46295</v>
      </c>
      <c r="D142" s="6">
        <v>0</v>
      </c>
      <c r="E142" t="s">
        <v>15</v>
      </c>
      <c r="F142" s="2" t="s">
        <v>34</v>
      </c>
      <c r="G142" s="2" t="s">
        <v>50</v>
      </c>
      <c r="H142">
        <f t="shared" si="18"/>
        <v>42.45</v>
      </c>
      <c r="Y142">
        <f>SUM(Gasto_real[[#This Row],[Transporte]:[U2B Premium]])</f>
        <v>42.45</v>
      </c>
    </row>
    <row r="143" spans="1:25" x14ac:dyDescent="0.3">
      <c r="A143" s="8">
        <v>46284</v>
      </c>
      <c r="B143" s="5">
        <v>46281</v>
      </c>
      <c r="C143" s="5">
        <v>46295</v>
      </c>
      <c r="D143" s="6">
        <v>0</v>
      </c>
      <c r="E143" t="s">
        <v>15</v>
      </c>
      <c r="F143" s="2" t="s">
        <v>34</v>
      </c>
      <c r="G143" s="2" t="s">
        <v>50</v>
      </c>
      <c r="H143">
        <f t="shared" si="18"/>
        <v>42.45</v>
      </c>
      <c r="Y143">
        <f>SUM(Gasto_real[[#This Row],[Transporte]:[U2B Premium]])</f>
        <v>42.45</v>
      </c>
    </row>
    <row r="144" spans="1:25" x14ac:dyDescent="0.3">
      <c r="A144" s="8">
        <v>46285</v>
      </c>
      <c r="B144" s="5">
        <v>46281</v>
      </c>
      <c r="C144" s="5">
        <v>46295</v>
      </c>
      <c r="D144" s="6">
        <v>0</v>
      </c>
      <c r="E144" t="s">
        <v>15</v>
      </c>
      <c r="F144" s="2" t="s">
        <v>34</v>
      </c>
      <c r="G144" s="2" t="s">
        <v>50</v>
      </c>
      <c r="Y144">
        <f>SUM(Gasto_real[[#This Row],[Transporte]:[U2B Premium]])</f>
        <v>0</v>
      </c>
    </row>
    <row r="145" spans="1:25" x14ac:dyDescent="0.3">
      <c r="A145" s="8">
        <v>46286</v>
      </c>
      <c r="B145" s="5">
        <v>46281</v>
      </c>
      <c r="C145" s="5">
        <v>46295</v>
      </c>
      <c r="D145" s="6">
        <v>0</v>
      </c>
      <c r="E145" t="s">
        <v>15</v>
      </c>
      <c r="F145" s="2" t="s">
        <v>34</v>
      </c>
      <c r="G145" s="2" t="s">
        <v>50</v>
      </c>
      <c r="H145">
        <f t="shared" ref="H145:H150" si="19">16.7+7.5+9.9+8.35</f>
        <v>42.45</v>
      </c>
      <c r="Y145">
        <f>SUM(Gasto_real[[#This Row],[Transporte]:[U2B Premium]])</f>
        <v>42.45</v>
      </c>
    </row>
    <row r="146" spans="1:25" x14ac:dyDescent="0.3">
      <c r="A146" s="8">
        <v>46287</v>
      </c>
      <c r="B146" s="5">
        <v>46281</v>
      </c>
      <c r="C146" s="5">
        <v>46295</v>
      </c>
      <c r="D146" s="6">
        <v>0</v>
      </c>
      <c r="E146" t="s">
        <v>15</v>
      </c>
      <c r="F146" s="2" t="s">
        <v>34</v>
      </c>
      <c r="G146" s="2" t="s">
        <v>50</v>
      </c>
      <c r="H146">
        <f t="shared" si="19"/>
        <v>42.45</v>
      </c>
      <c r="Y146">
        <f>SUM(Gasto_real[[#This Row],[Transporte]:[U2B Premium]])</f>
        <v>42.45</v>
      </c>
    </row>
    <row r="147" spans="1:25" x14ac:dyDescent="0.3">
      <c r="A147" s="8">
        <v>46288</v>
      </c>
      <c r="B147" s="5">
        <v>46281</v>
      </c>
      <c r="C147" s="5">
        <v>46295</v>
      </c>
      <c r="D147" s="6">
        <v>2</v>
      </c>
      <c r="E147" t="s">
        <v>15</v>
      </c>
      <c r="F147" s="2" t="s">
        <v>34</v>
      </c>
      <c r="G147" s="2" t="s">
        <v>50</v>
      </c>
      <c r="H147">
        <f t="shared" si="19"/>
        <v>42.45</v>
      </c>
      <c r="O147">
        <v>1800</v>
      </c>
      <c r="Y147">
        <f>SUM(Gasto_real[[#This Row],[Transporte]:[U2B Premium]])</f>
        <v>1842.45</v>
      </c>
    </row>
    <row r="148" spans="1:25" x14ac:dyDescent="0.3">
      <c r="A148" s="8">
        <v>46289</v>
      </c>
      <c r="B148" s="5">
        <v>46281</v>
      </c>
      <c r="C148" s="5">
        <v>46295</v>
      </c>
      <c r="D148" s="6">
        <v>0</v>
      </c>
      <c r="E148" t="s">
        <v>15</v>
      </c>
      <c r="F148" s="2" t="s">
        <v>34</v>
      </c>
      <c r="G148" s="2" t="s">
        <v>50</v>
      </c>
      <c r="H148">
        <f t="shared" si="19"/>
        <v>42.45</v>
      </c>
      <c r="Y148">
        <f>SUM(Gasto_real[[#This Row],[Transporte]:[U2B Premium]])</f>
        <v>42.45</v>
      </c>
    </row>
    <row r="149" spans="1:25" x14ac:dyDescent="0.3">
      <c r="A149" s="8">
        <v>46290</v>
      </c>
      <c r="B149" s="5">
        <v>46281</v>
      </c>
      <c r="C149" s="5">
        <v>46295</v>
      </c>
      <c r="D149" s="6">
        <v>0</v>
      </c>
      <c r="E149" t="s">
        <v>15</v>
      </c>
      <c r="F149" s="2" t="s">
        <v>34</v>
      </c>
      <c r="G149" s="2" t="s">
        <v>50</v>
      </c>
      <c r="H149">
        <f t="shared" si="19"/>
        <v>42.45</v>
      </c>
      <c r="Y149">
        <f>SUM(Gasto_real[[#This Row],[Transporte]:[U2B Premium]])</f>
        <v>42.45</v>
      </c>
    </row>
    <row r="150" spans="1:25" x14ac:dyDescent="0.3">
      <c r="A150" s="8">
        <v>46291</v>
      </c>
      <c r="B150" s="5">
        <v>46281</v>
      </c>
      <c r="C150" s="5">
        <v>46295</v>
      </c>
      <c r="D150" s="6">
        <v>0</v>
      </c>
      <c r="E150" t="s">
        <v>15</v>
      </c>
      <c r="F150" s="2" t="s">
        <v>34</v>
      </c>
      <c r="G150" s="2" t="s">
        <v>50</v>
      </c>
      <c r="H150">
        <f t="shared" si="19"/>
        <v>42.45</v>
      </c>
      <c r="Y150">
        <f>SUM(Gasto_real[[#This Row],[Transporte]:[U2B Premium]])</f>
        <v>42.45</v>
      </c>
    </row>
    <row r="151" spans="1:25" x14ac:dyDescent="0.3">
      <c r="A151" s="8">
        <v>46292</v>
      </c>
      <c r="B151" s="5">
        <v>46281</v>
      </c>
      <c r="C151" s="5">
        <v>46295</v>
      </c>
      <c r="D151" s="6">
        <v>0</v>
      </c>
      <c r="E151" t="s">
        <v>15</v>
      </c>
      <c r="F151" s="2" t="s">
        <v>34</v>
      </c>
      <c r="G151" s="2" t="s">
        <v>50</v>
      </c>
      <c r="Y151">
        <f>SUM(Gasto_real[[#This Row],[Transporte]:[U2B Premium]])</f>
        <v>0</v>
      </c>
    </row>
    <row r="152" spans="1:25" x14ac:dyDescent="0.3">
      <c r="A152" s="8">
        <v>46293</v>
      </c>
      <c r="B152" s="5">
        <v>46281</v>
      </c>
      <c r="C152" s="5">
        <v>46295</v>
      </c>
      <c r="D152" s="6">
        <v>0</v>
      </c>
      <c r="E152" t="s">
        <v>15</v>
      </c>
      <c r="F152" s="2" t="s">
        <v>34</v>
      </c>
      <c r="G152" s="2" t="s">
        <v>50</v>
      </c>
      <c r="H152">
        <f t="shared" ref="H152:H157" si="20">16.7+7.5+9.9+8.35</f>
        <v>42.45</v>
      </c>
      <c r="Y152">
        <f>SUM(Gasto_real[[#This Row],[Transporte]:[U2B Premium]])</f>
        <v>42.45</v>
      </c>
    </row>
    <row r="153" spans="1:25" x14ac:dyDescent="0.3">
      <c r="A153" s="8">
        <v>46294</v>
      </c>
      <c r="B153" s="5">
        <v>46281</v>
      </c>
      <c r="C153" s="5">
        <v>46295</v>
      </c>
      <c r="D153" s="6">
        <v>0</v>
      </c>
      <c r="E153" t="s">
        <v>15</v>
      </c>
      <c r="F153" s="2" t="s">
        <v>34</v>
      </c>
      <c r="G153" s="2" t="s">
        <v>50</v>
      </c>
      <c r="H153">
        <f t="shared" si="20"/>
        <v>42.45</v>
      </c>
      <c r="Y153">
        <f>SUM(Gasto_real[[#This Row],[Transporte]:[U2B Premium]])</f>
        <v>42.45</v>
      </c>
    </row>
    <row r="154" spans="1:25" x14ac:dyDescent="0.3">
      <c r="A154" s="8">
        <v>46295</v>
      </c>
      <c r="B154" s="5">
        <v>46281</v>
      </c>
      <c r="C154" s="5">
        <v>46295</v>
      </c>
      <c r="D154" s="6">
        <v>0</v>
      </c>
      <c r="E154" t="s">
        <v>15</v>
      </c>
      <c r="F154" s="2" t="s">
        <v>34</v>
      </c>
      <c r="G154" s="2" t="s">
        <v>50</v>
      </c>
      <c r="H154">
        <f t="shared" si="20"/>
        <v>42.45</v>
      </c>
      <c r="Y154">
        <f>SUM(Gasto_real[[#This Row],[Transporte]:[U2B Premium]])</f>
        <v>42.45</v>
      </c>
    </row>
    <row r="155" spans="1:25" x14ac:dyDescent="0.3">
      <c r="A155" s="8">
        <v>46296</v>
      </c>
      <c r="B155" s="5">
        <v>46296</v>
      </c>
      <c r="C155" s="5">
        <v>46310</v>
      </c>
      <c r="D155" s="6">
        <v>1</v>
      </c>
      <c r="E155" t="s">
        <v>16</v>
      </c>
      <c r="F155" s="2" t="s">
        <v>34</v>
      </c>
      <c r="G155" s="2" t="s">
        <v>50</v>
      </c>
      <c r="H155">
        <f t="shared" si="20"/>
        <v>42.45</v>
      </c>
      <c r="M155">
        <v>600</v>
      </c>
      <c r="O155">
        <v>1800</v>
      </c>
      <c r="R155">
        <v>70</v>
      </c>
      <c r="S155">
        <v>70</v>
      </c>
      <c r="Y155">
        <f>SUM(Gasto_real[[#This Row],[Transporte]:[U2B Premium]])</f>
        <v>2582.4499999999998</v>
      </c>
    </row>
    <row r="156" spans="1:25" x14ac:dyDescent="0.3">
      <c r="A156" s="8">
        <v>46297</v>
      </c>
      <c r="B156" s="5">
        <v>46296</v>
      </c>
      <c r="C156" s="5">
        <v>46310</v>
      </c>
      <c r="D156" s="6">
        <v>0</v>
      </c>
      <c r="E156" t="s">
        <v>16</v>
      </c>
      <c r="F156" s="2" t="s">
        <v>34</v>
      </c>
      <c r="G156" s="2" t="s">
        <v>50</v>
      </c>
      <c r="H156">
        <f t="shared" si="20"/>
        <v>42.45</v>
      </c>
      <c r="R156">
        <v>70</v>
      </c>
      <c r="S156">
        <v>70</v>
      </c>
      <c r="Y156">
        <f>SUM(Gasto_real[[#This Row],[Transporte]:[U2B Premium]])</f>
        <v>182.45</v>
      </c>
    </row>
    <row r="157" spans="1:25" x14ac:dyDescent="0.3">
      <c r="A157" s="8">
        <v>46298</v>
      </c>
      <c r="B157" s="5">
        <v>46296</v>
      </c>
      <c r="C157" s="5">
        <v>46310</v>
      </c>
      <c r="D157" s="6">
        <v>0</v>
      </c>
      <c r="E157" t="s">
        <v>16</v>
      </c>
      <c r="F157" s="2" t="s">
        <v>34</v>
      </c>
      <c r="G157" s="2" t="s">
        <v>50</v>
      </c>
      <c r="H157">
        <f t="shared" si="20"/>
        <v>42.45</v>
      </c>
      <c r="Y157">
        <f>SUM(Gasto_real[[#This Row],[Transporte]:[U2B Premium]])</f>
        <v>42.45</v>
      </c>
    </row>
    <row r="158" spans="1:25" x14ac:dyDescent="0.3">
      <c r="A158" s="8">
        <v>46299</v>
      </c>
      <c r="B158" s="5">
        <v>46296</v>
      </c>
      <c r="C158" s="5">
        <v>46310</v>
      </c>
      <c r="D158" s="6">
        <v>0</v>
      </c>
      <c r="E158" t="s">
        <v>16</v>
      </c>
      <c r="F158" s="2" t="s">
        <v>34</v>
      </c>
      <c r="G158" s="2" t="s">
        <v>50</v>
      </c>
      <c r="Y158">
        <f>SUM(Gasto_real[[#This Row],[Transporte]:[U2B Premium]])</f>
        <v>0</v>
      </c>
    </row>
    <row r="159" spans="1:25" x14ac:dyDescent="0.3">
      <c r="A159" s="8">
        <v>46300</v>
      </c>
      <c r="B159" s="5">
        <v>46296</v>
      </c>
      <c r="C159" s="5">
        <v>46310</v>
      </c>
      <c r="D159" s="6">
        <v>0</v>
      </c>
      <c r="E159" t="s">
        <v>16</v>
      </c>
      <c r="F159" s="2" t="s">
        <v>34</v>
      </c>
      <c r="G159" s="2" t="s">
        <v>50</v>
      </c>
      <c r="H159">
        <f t="shared" ref="H159:H164" si="21">16.7+7.5+9.9+8.35</f>
        <v>42.45</v>
      </c>
      <c r="Y159">
        <f>SUM(Gasto_real[[#This Row],[Transporte]:[U2B Premium]])</f>
        <v>42.45</v>
      </c>
    </row>
    <row r="160" spans="1:25" x14ac:dyDescent="0.3">
      <c r="A160" s="8">
        <v>46301</v>
      </c>
      <c r="B160" s="5">
        <v>46296</v>
      </c>
      <c r="C160" s="5">
        <v>46310</v>
      </c>
      <c r="D160" s="6">
        <v>0</v>
      </c>
      <c r="E160" t="s">
        <v>16</v>
      </c>
      <c r="F160" s="2" t="s">
        <v>34</v>
      </c>
      <c r="G160" s="2" t="s">
        <v>50</v>
      </c>
      <c r="H160">
        <f t="shared" si="21"/>
        <v>42.45</v>
      </c>
      <c r="Y160">
        <f>SUM(Gasto_real[[#This Row],[Transporte]:[U2B Premium]])</f>
        <v>42.45</v>
      </c>
    </row>
    <row r="161" spans="1:25" x14ac:dyDescent="0.3">
      <c r="A161" s="8">
        <v>46302</v>
      </c>
      <c r="B161" s="5">
        <v>46296</v>
      </c>
      <c r="C161" s="5">
        <v>46310</v>
      </c>
      <c r="D161" s="6">
        <v>0</v>
      </c>
      <c r="E161" t="s">
        <v>16</v>
      </c>
      <c r="F161" s="2" t="s">
        <v>34</v>
      </c>
      <c r="G161" s="2" t="s">
        <v>50</v>
      </c>
      <c r="H161">
        <f t="shared" si="21"/>
        <v>42.45</v>
      </c>
      <c r="Y161">
        <f>SUM(Gasto_real[[#This Row],[Transporte]:[U2B Premium]])</f>
        <v>42.45</v>
      </c>
    </row>
    <row r="162" spans="1:25" x14ac:dyDescent="0.3">
      <c r="A162" s="8">
        <v>46303</v>
      </c>
      <c r="B162" s="5">
        <v>46296</v>
      </c>
      <c r="C162" s="5">
        <v>46310</v>
      </c>
      <c r="D162" s="6">
        <v>2</v>
      </c>
      <c r="E162" t="s">
        <v>16</v>
      </c>
      <c r="F162" s="2" t="s">
        <v>34</v>
      </c>
      <c r="G162" s="2" t="s">
        <v>50</v>
      </c>
      <c r="H162">
        <f t="shared" si="21"/>
        <v>42.45</v>
      </c>
      <c r="O162">
        <v>1800</v>
      </c>
      <c r="Y162">
        <f>SUM(Gasto_real[[#This Row],[Transporte]:[U2B Premium]])</f>
        <v>1842.45</v>
      </c>
    </row>
    <row r="163" spans="1:25" x14ac:dyDescent="0.3">
      <c r="A163" s="8">
        <v>46304</v>
      </c>
      <c r="B163" s="5">
        <v>46296</v>
      </c>
      <c r="C163" s="5">
        <v>46310</v>
      </c>
      <c r="D163" s="6">
        <v>0</v>
      </c>
      <c r="E163" t="s">
        <v>16</v>
      </c>
      <c r="F163" s="2" t="s">
        <v>34</v>
      </c>
      <c r="G163" s="2" t="s">
        <v>50</v>
      </c>
      <c r="H163">
        <f t="shared" si="21"/>
        <v>42.45</v>
      </c>
      <c r="Y163">
        <f>SUM(Gasto_real[[#This Row],[Transporte]:[U2B Premium]])</f>
        <v>42.45</v>
      </c>
    </row>
    <row r="164" spans="1:25" x14ac:dyDescent="0.3">
      <c r="A164" s="8">
        <v>46305</v>
      </c>
      <c r="B164" s="5">
        <v>46296</v>
      </c>
      <c r="C164" s="5">
        <v>46310</v>
      </c>
      <c r="D164" s="6">
        <v>0</v>
      </c>
      <c r="E164" t="s">
        <v>16</v>
      </c>
      <c r="F164" s="2" t="s">
        <v>34</v>
      </c>
      <c r="G164" s="2" t="s">
        <v>50</v>
      </c>
      <c r="H164">
        <f t="shared" si="21"/>
        <v>42.45</v>
      </c>
      <c r="Y164">
        <f>SUM(Gasto_real[[#This Row],[Transporte]:[U2B Premium]])</f>
        <v>42.45</v>
      </c>
    </row>
    <row r="165" spans="1:25" x14ac:dyDescent="0.3">
      <c r="A165" s="8">
        <v>46306</v>
      </c>
      <c r="B165" s="5">
        <v>46296</v>
      </c>
      <c r="C165" s="5">
        <v>46310</v>
      </c>
      <c r="D165" s="6">
        <v>0</v>
      </c>
      <c r="E165" t="s">
        <v>16</v>
      </c>
      <c r="F165" s="2" t="s">
        <v>34</v>
      </c>
      <c r="G165" s="2" t="s">
        <v>50</v>
      </c>
      <c r="Y165">
        <f>SUM(Gasto_real[[#This Row],[Transporte]:[U2B Premium]])</f>
        <v>0</v>
      </c>
    </row>
    <row r="166" spans="1:25" x14ac:dyDescent="0.3">
      <c r="A166" s="8">
        <v>46307</v>
      </c>
      <c r="B166" s="5">
        <v>46296</v>
      </c>
      <c r="C166" s="5">
        <v>46310</v>
      </c>
      <c r="D166" s="6">
        <v>0</v>
      </c>
      <c r="E166" t="s">
        <v>16</v>
      </c>
      <c r="F166" s="2" t="s">
        <v>34</v>
      </c>
      <c r="G166" s="2" t="s">
        <v>50</v>
      </c>
      <c r="H166">
        <f t="shared" ref="H166:H171" si="22">16.7+7.5+9.9+8.35</f>
        <v>42.45</v>
      </c>
      <c r="Y166">
        <f>SUM(Gasto_real[[#This Row],[Transporte]:[U2B Premium]])</f>
        <v>42.45</v>
      </c>
    </row>
    <row r="167" spans="1:25" x14ac:dyDescent="0.3">
      <c r="A167" s="8">
        <v>46308</v>
      </c>
      <c r="B167" s="5">
        <v>46296</v>
      </c>
      <c r="C167" s="5">
        <v>46310</v>
      </c>
      <c r="D167" s="6">
        <v>0</v>
      </c>
      <c r="E167" t="s">
        <v>16</v>
      </c>
      <c r="F167" s="2" t="s">
        <v>34</v>
      </c>
      <c r="G167" s="2" t="s">
        <v>50</v>
      </c>
      <c r="H167">
        <f t="shared" si="22"/>
        <v>42.45</v>
      </c>
      <c r="Y167">
        <f>SUM(Gasto_real[[#This Row],[Transporte]:[U2B Premium]])</f>
        <v>42.45</v>
      </c>
    </row>
    <row r="168" spans="1:25" x14ac:dyDescent="0.3">
      <c r="A168" s="8">
        <v>46309</v>
      </c>
      <c r="B168" s="5">
        <v>46296</v>
      </c>
      <c r="C168" s="5">
        <v>46310</v>
      </c>
      <c r="D168" s="6">
        <v>0</v>
      </c>
      <c r="E168" t="s">
        <v>16</v>
      </c>
      <c r="F168" s="2" t="s">
        <v>34</v>
      </c>
      <c r="G168" s="2" t="s">
        <v>50</v>
      </c>
      <c r="H168">
        <f t="shared" si="22"/>
        <v>42.45</v>
      </c>
      <c r="Y168">
        <f>SUM(Gasto_real[[#This Row],[Transporte]:[U2B Premium]])</f>
        <v>42.45</v>
      </c>
    </row>
    <row r="169" spans="1:25" x14ac:dyDescent="0.3">
      <c r="A169" s="8">
        <v>46310</v>
      </c>
      <c r="B169" s="5">
        <v>46296</v>
      </c>
      <c r="C169" s="5">
        <v>46310</v>
      </c>
      <c r="D169" s="6">
        <v>0</v>
      </c>
      <c r="E169" t="s">
        <v>16</v>
      </c>
      <c r="F169" s="2" t="s">
        <v>34</v>
      </c>
      <c r="G169" s="2" t="s">
        <v>50</v>
      </c>
      <c r="H169">
        <f t="shared" si="22"/>
        <v>42.45</v>
      </c>
      <c r="Y169">
        <f>SUM(Gasto_real[[#This Row],[Transporte]:[U2B Premium]])</f>
        <v>42.45</v>
      </c>
    </row>
    <row r="170" spans="1:25" x14ac:dyDescent="0.3">
      <c r="A170" s="8">
        <v>46311</v>
      </c>
      <c r="B170" s="5">
        <v>46311</v>
      </c>
      <c r="C170" s="5">
        <v>46326</v>
      </c>
      <c r="D170" s="6">
        <v>1</v>
      </c>
      <c r="E170" t="s">
        <v>17</v>
      </c>
      <c r="F170" s="2" t="s">
        <v>34</v>
      </c>
      <c r="G170" s="2" t="s">
        <v>50</v>
      </c>
      <c r="H170">
        <f t="shared" si="22"/>
        <v>42.45</v>
      </c>
      <c r="I170">
        <v>450</v>
      </c>
      <c r="J170">
        <v>449</v>
      </c>
      <c r="K170">
        <v>239</v>
      </c>
      <c r="L170">
        <v>139</v>
      </c>
      <c r="O170">
        <v>1800</v>
      </c>
      <c r="Q170">
        <v>70</v>
      </c>
      <c r="T170">
        <v>321</v>
      </c>
      <c r="Y170">
        <f>SUM(Gasto_real[[#This Row],[Transporte]:[U2B Premium]])</f>
        <v>3510.45</v>
      </c>
    </row>
    <row r="171" spans="1:25" x14ac:dyDescent="0.3">
      <c r="A171" s="8">
        <v>46312</v>
      </c>
      <c r="B171" s="5">
        <v>46311</v>
      </c>
      <c r="C171" s="5">
        <v>46326</v>
      </c>
      <c r="D171" s="6">
        <v>0</v>
      </c>
      <c r="E171" t="s">
        <v>17</v>
      </c>
      <c r="F171" s="2" t="s">
        <v>34</v>
      </c>
      <c r="G171" s="2" t="s">
        <v>50</v>
      </c>
      <c r="H171">
        <f t="shared" si="22"/>
        <v>42.45</v>
      </c>
      <c r="Y171">
        <f>SUM(Gasto_real[[#This Row],[Transporte]:[U2B Premium]])</f>
        <v>42.45</v>
      </c>
    </row>
    <row r="172" spans="1:25" x14ac:dyDescent="0.3">
      <c r="A172" s="8">
        <v>46313</v>
      </c>
      <c r="B172" s="5">
        <v>46311</v>
      </c>
      <c r="C172" s="5">
        <v>46326</v>
      </c>
      <c r="D172" s="6">
        <v>0</v>
      </c>
      <c r="E172" t="s">
        <v>17</v>
      </c>
      <c r="F172" s="2" t="s">
        <v>34</v>
      </c>
      <c r="G172" s="2" t="s">
        <v>50</v>
      </c>
      <c r="Y172">
        <f>SUM(Gasto_real[[#This Row],[Transporte]:[U2B Premium]])</f>
        <v>0</v>
      </c>
    </row>
    <row r="173" spans="1:25" x14ac:dyDescent="0.3">
      <c r="A173" s="8">
        <v>46314</v>
      </c>
      <c r="B173" s="5">
        <v>46311</v>
      </c>
      <c r="C173" s="5">
        <v>46326</v>
      </c>
      <c r="D173" s="6">
        <v>0</v>
      </c>
      <c r="E173" t="s">
        <v>17</v>
      </c>
      <c r="F173" s="2" t="s">
        <v>34</v>
      </c>
      <c r="G173" s="2" t="s">
        <v>50</v>
      </c>
      <c r="H173">
        <f t="shared" ref="H173:H178" si="23">16.7+7.5+9.9+8.35</f>
        <v>42.45</v>
      </c>
      <c r="Y173">
        <f>SUM(Gasto_real[[#This Row],[Transporte]:[U2B Premium]])</f>
        <v>42.45</v>
      </c>
    </row>
    <row r="174" spans="1:25" x14ac:dyDescent="0.3">
      <c r="A174" s="8">
        <v>46315</v>
      </c>
      <c r="B174" s="5">
        <v>46311</v>
      </c>
      <c r="C174" s="5">
        <v>46326</v>
      </c>
      <c r="D174" s="6">
        <v>0</v>
      </c>
      <c r="E174" t="s">
        <v>17</v>
      </c>
      <c r="F174" s="2" t="s">
        <v>34</v>
      </c>
      <c r="G174" s="2" t="s">
        <v>50</v>
      </c>
      <c r="H174">
        <f t="shared" si="23"/>
        <v>42.45</v>
      </c>
      <c r="Y174">
        <f>SUM(Gasto_real[[#This Row],[Transporte]:[U2B Premium]])</f>
        <v>42.45</v>
      </c>
    </row>
    <row r="175" spans="1:25" x14ac:dyDescent="0.3">
      <c r="A175" s="8">
        <v>46316</v>
      </c>
      <c r="B175" s="5">
        <v>46311</v>
      </c>
      <c r="C175" s="5">
        <v>46326</v>
      </c>
      <c r="D175" s="6">
        <v>0</v>
      </c>
      <c r="E175" t="s">
        <v>17</v>
      </c>
      <c r="F175" s="2" t="s">
        <v>34</v>
      </c>
      <c r="G175" s="2" t="s">
        <v>50</v>
      </c>
      <c r="H175">
        <f t="shared" si="23"/>
        <v>42.45</v>
      </c>
      <c r="Y175">
        <f>SUM(Gasto_real[[#This Row],[Transporte]:[U2B Premium]])</f>
        <v>42.45</v>
      </c>
    </row>
    <row r="176" spans="1:25" x14ac:dyDescent="0.3">
      <c r="A176" s="8">
        <v>46317</v>
      </c>
      <c r="B176" s="5">
        <v>46311</v>
      </c>
      <c r="C176" s="5">
        <v>46326</v>
      </c>
      <c r="D176" s="6">
        <v>0</v>
      </c>
      <c r="E176" t="s">
        <v>17</v>
      </c>
      <c r="F176" s="2" t="s">
        <v>34</v>
      </c>
      <c r="G176" s="2" t="s">
        <v>50</v>
      </c>
      <c r="H176">
        <f t="shared" si="23"/>
        <v>42.45</v>
      </c>
      <c r="Y176">
        <f>SUM(Gasto_real[[#This Row],[Transporte]:[U2B Premium]])</f>
        <v>42.45</v>
      </c>
    </row>
    <row r="177" spans="1:25" x14ac:dyDescent="0.3">
      <c r="A177" s="8">
        <v>46318</v>
      </c>
      <c r="B177" s="5">
        <v>46311</v>
      </c>
      <c r="C177" s="5">
        <v>46326</v>
      </c>
      <c r="D177" s="6">
        <v>2</v>
      </c>
      <c r="E177" t="s">
        <v>17</v>
      </c>
      <c r="F177" s="2" t="s">
        <v>34</v>
      </c>
      <c r="G177" s="2" t="s">
        <v>50</v>
      </c>
      <c r="H177">
        <f t="shared" si="23"/>
        <v>42.45</v>
      </c>
      <c r="O177">
        <v>1800</v>
      </c>
      <c r="Y177">
        <f>SUM(Gasto_real[[#This Row],[Transporte]:[U2B Premium]])</f>
        <v>1842.45</v>
      </c>
    </row>
    <row r="178" spans="1:25" x14ac:dyDescent="0.3">
      <c r="A178" s="8">
        <v>46319</v>
      </c>
      <c r="B178" s="5">
        <v>46311</v>
      </c>
      <c r="C178" s="5">
        <v>46326</v>
      </c>
      <c r="D178" s="6">
        <v>0</v>
      </c>
      <c r="E178" t="s">
        <v>17</v>
      </c>
      <c r="F178" s="2" t="s">
        <v>34</v>
      </c>
      <c r="G178" s="2" t="s">
        <v>50</v>
      </c>
      <c r="H178">
        <f t="shared" si="23"/>
        <v>42.45</v>
      </c>
      <c r="Y178">
        <f>SUM(Gasto_real[[#This Row],[Transporte]:[U2B Premium]])</f>
        <v>42.45</v>
      </c>
    </row>
    <row r="179" spans="1:25" x14ac:dyDescent="0.3">
      <c r="A179" s="8">
        <v>46320</v>
      </c>
      <c r="B179" s="5">
        <v>46311</v>
      </c>
      <c r="C179" s="5">
        <v>46326</v>
      </c>
      <c r="D179" s="6">
        <v>0</v>
      </c>
      <c r="E179" t="s">
        <v>17</v>
      </c>
      <c r="F179" s="2" t="s">
        <v>34</v>
      </c>
      <c r="G179" s="2" t="s">
        <v>50</v>
      </c>
      <c r="Y179">
        <f>SUM(Gasto_real[[#This Row],[Transporte]:[U2B Premium]])</f>
        <v>0</v>
      </c>
    </row>
    <row r="180" spans="1:25" x14ac:dyDescent="0.3">
      <c r="A180" s="8">
        <v>46321</v>
      </c>
      <c r="B180" s="5">
        <v>46311</v>
      </c>
      <c r="C180" s="5">
        <v>46326</v>
      </c>
      <c r="D180" s="6">
        <v>0</v>
      </c>
      <c r="E180" t="s">
        <v>17</v>
      </c>
      <c r="F180" s="2" t="s">
        <v>34</v>
      </c>
      <c r="G180" s="2" t="s">
        <v>50</v>
      </c>
      <c r="H180">
        <f t="shared" ref="H180:H185" si="24">16.7+7.5+9.9+8.35</f>
        <v>42.45</v>
      </c>
      <c r="Y180">
        <f>SUM(Gasto_real[[#This Row],[Transporte]:[U2B Premium]])</f>
        <v>42.45</v>
      </c>
    </row>
    <row r="181" spans="1:25" x14ac:dyDescent="0.3">
      <c r="A181" s="8">
        <v>46322</v>
      </c>
      <c r="B181" s="5">
        <v>46311</v>
      </c>
      <c r="C181" s="5">
        <v>46326</v>
      </c>
      <c r="D181" s="6">
        <v>0</v>
      </c>
      <c r="E181" t="s">
        <v>17</v>
      </c>
      <c r="F181" s="2" t="s">
        <v>34</v>
      </c>
      <c r="G181" s="2" t="s">
        <v>50</v>
      </c>
      <c r="H181">
        <f t="shared" si="24"/>
        <v>42.45</v>
      </c>
      <c r="Y181">
        <f>SUM(Gasto_real[[#This Row],[Transporte]:[U2B Premium]])</f>
        <v>42.45</v>
      </c>
    </row>
    <row r="182" spans="1:25" x14ac:dyDescent="0.3">
      <c r="A182" s="8">
        <v>46323</v>
      </c>
      <c r="B182" s="5">
        <v>46311</v>
      </c>
      <c r="C182" s="5">
        <v>46326</v>
      </c>
      <c r="D182" s="6">
        <v>0</v>
      </c>
      <c r="E182" t="s">
        <v>17</v>
      </c>
      <c r="F182" s="2" t="s">
        <v>34</v>
      </c>
      <c r="G182" s="2" t="s">
        <v>50</v>
      </c>
      <c r="H182">
        <f t="shared" si="24"/>
        <v>42.45</v>
      </c>
      <c r="Y182">
        <f>SUM(Gasto_real[[#This Row],[Transporte]:[U2B Premium]])</f>
        <v>42.45</v>
      </c>
    </row>
    <row r="183" spans="1:25" x14ac:dyDescent="0.3">
      <c r="A183" s="8">
        <v>46324</v>
      </c>
      <c r="B183" s="5">
        <v>46311</v>
      </c>
      <c r="C183" s="5">
        <v>46326</v>
      </c>
      <c r="D183" s="6">
        <v>0</v>
      </c>
      <c r="E183" t="s">
        <v>17</v>
      </c>
      <c r="F183" s="2" t="s">
        <v>34</v>
      </c>
      <c r="G183" s="2" t="s">
        <v>50</v>
      </c>
      <c r="H183">
        <f t="shared" si="24"/>
        <v>42.45</v>
      </c>
      <c r="Y183">
        <f>SUM(Gasto_real[[#This Row],[Transporte]:[U2B Premium]])</f>
        <v>42.45</v>
      </c>
    </row>
    <row r="184" spans="1:25" x14ac:dyDescent="0.3">
      <c r="A184" s="8">
        <v>46325</v>
      </c>
      <c r="B184" s="5">
        <v>46311</v>
      </c>
      <c r="C184" s="5">
        <v>46326</v>
      </c>
      <c r="D184" s="6">
        <v>0</v>
      </c>
      <c r="E184" t="s">
        <v>17</v>
      </c>
      <c r="F184" s="2" t="s">
        <v>34</v>
      </c>
      <c r="G184" s="2" t="s">
        <v>50</v>
      </c>
      <c r="H184">
        <f t="shared" si="24"/>
        <v>42.45</v>
      </c>
      <c r="Y184">
        <f>SUM(Gasto_real[[#This Row],[Transporte]:[U2B Premium]])</f>
        <v>42.45</v>
      </c>
    </row>
    <row r="185" spans="1:25" x14ac:dyDescent="0.3">
      <c r="A185" s="8">
        <v>46326</v>
      </c>
      <c r="B185" s="5">
        <v>46311</v>
      </c>
      <c r="C185" s="5">
        <v>46326</v>
      </c>
      <c r="D185" s="6">
        <v>0</v>
      </c>
      <c r="E185" t="s">
        <v>17</v>
      </c>
      <c r="F185" s="2" t="s">
        <v>34</v>
      </c>
      <c r="G185" s="2" t="s">
        <v>50</v>
      </c>
      <c r="H185">
        <f t="shared" si="24"/>
        <v>42.45</v>
      </c>
      <c r="Y185">
        <f>SUM(Gasto_real[[#This Row],[Transporte]:[U2B Premium]])</f>
        <v>42.45</v>
      </c>
    </row>
    <row r="186" spans="1:25" x14ac:dyDescent="0.3">
      <c r="A186" s="8">
        <v>46327</v>
      </c>
      <c r="B186" s="5">
        <v>46327</v>
      </c>
      <c r="C186" s="5">
        <v>46341</v>
      </c>
      <c r="D186" s="6">
        <v>1</v>
      </c>
      <c r="E186" t="s">
        <v>18</v>
      </c>
      <c r="F186" s="2" t="s">
        <v>34</v>
      </c>
      <c r="G186" s="2" t="s">
        <v>50</v>
      </c>
      <c r="N186">
        <v>1200</v>
      </c>
      <c r="O186">
        <v>1800</v>
      </c>
      <c r="R186">
        <v>70</v>
      </c>
      <c r="S186">
        <v>70</v>
      </c>
      <c r="Y186">
        <f>SUM(Gasto_real[[#This Row],[Transporte]:[U2B Premium]])</f>
        <v>3140</v>
      </c>
    </row>
    <row r="187" spans="1:25" x14ac:dyDescent="0.3">
      <c r="A187" s="8">
        <v>46328</v>
      </c>
      <c r="B187" s="5">
        <v>46327</v>
      </c>
      <c r="C187" s="5">
        <v>46341</v>
      </c>
      <c r="D187" s="6">
        <v>0</v>
      </c>
      <c r="E187" t="s">
        <v>18</v>
      </c>
      <c r="F187" s="2" t="s">
        <v>34</v>
      </c>
      <c r="G187" s="2" t="s">
        <v>50</v>
      </c>
      <c r="H187">
        <f t="shared" ref="H187:H192" si="25">16.7+7.5+9.9+8.35</f>
        <v>42.45</v>
      </c>
      <c r="Y187">
        <f>SUM(Gasto_real[[#This Row],[Transporte]:[U2B Premium]])</f>
        <v>42.45</v>
      </c>
    </row>
    <row r="188" spans="1:25" x14ac:dyDescent="0.3">
      <c r="A188" s="8">
        <v>46329</v>
      </c>
      <c r="B188" s="5">
        <v>46327</v>
      </c>
      <c r="C188" s="5">
        <v>46341</v>
      </c>
      <c r="D188" s="6">
        <v>0</v>
      </c>
      <c r="E188" t="s">
        <v>18</v>
      </c>
      <c r="F188" s="2" t="s">
        <v>34</v>
      </c>
      <c r="G188" s="2" t="s">
        <v>50</v>
      </c>
      <c r="H188">
        <f t="shared" si="25"/>
        <v>42.45</v>
      </c>
      <c r="Y188">
        <f>SUM(Gasto_real[[#This Row],[Transporte]:[U2B Premium]])</f>
        <v>42.45</v>
      </c>
    </row>
    <row r="189" spans="1:25" x14ac:dyDescent="0.3">
      <c r="A189" s="8">
        <v>46330</v>
      </c>
      <c r="B189" s="5">
        <v>46327</v>
      </c>
      <c r="C189" s="5">
        <v>46341</v>
      </c>
      <c r="D189" s="6">
        <v>0</v>
      </c>
      <c r="E189" t="s">
        <v>18</v>
      </c>
      <c r="F189" s="2" t="s">
        <v>34</v>
      </c>
      <c r="G189" s="2" t="s">
        <v>50</v>
      </c>
      <c r="H189">
        <f t="shared" si="25"/>
        <v>42.45</v>
      </c>
      <c r="Y189">
        <f>SUM(Gasto_real[[#This Row],[Transporte]:[U2B Premium]])</f>
        <v>42.45</v>
      </c>
    </row>
    <row r="190" spans="1:25" x14ac:dyDescent="0.3">
      <c r="A190" s="8">
        <v>46331</v>
      </c>
      <c r="B190" s="5">
        <v>46327</v>
      </c>
      <c r="C190" s="5">
        <v>46341</v>
      </c>
      <c r="D190" s="6">
        <v>0</v>
      </c>
      <c r="E190" t="s">
        <v>18</v>
      </c>
      <c r="F190" s="2" t="s">
        <v>34</v>
      </c>
      <c r="G190" s="2" t="s">
        <v>50</v>
      </c>
      <c r="H190">
        <f t="shared" si="25"/>
        <v>42.45</v>
      </c>
      <c r="Y190">
        <f>SUM(Gasto_real[[#This Row],[Transporte]:[U2B Premium]])</f>
        <v>42.45</v>
      </c>
    </row>
    <row r="191" spans="1:25" x14ac:dyDescent="0.3">
      <c r="A191" s="8">
        <v>46332</v>
      </c>
      <c r="B191" s="5">
        <v>46327</v>
      </c>
      <c r="C191" s="5">
        <v>46341</v>
      </c>
      <c r="D191" s="6">
        <v>0</v>
      </c>
      <c r="E191" t="s">
        <v>18</v>
      </c>
      <c r="F191" s="2" t="s">
        <v>34</v>
      </c>
      <c r="G191" s="2" t="s">
        <v>50</v>
      </c>
      <c r="H191">
        <f t="shared" si="25"/>
        <v>42.45</v>
      </c>
      <c r="Y191">
        <f>SUM(Gasto_real[[#This Row],[Transporte]:[U2B Premium]])</f>
        <v>42.45</v>
      </c>
    </row>
    <row r="192" spans="1:25" x14ac:dyDescent="0.3">
      <c r="A192" s="8">
        <v>46333</v>
      </c>
      <c r="B192" s="5">
        <v>46327</v>
      </c>
      <c r="C192" s="5">
        <v>46341</v>
      </c>
      <c r="D192" s="6">
        <v>0</v>
      </c>
      <c r="E192" t="s">
        <v>18</v>
      </c>
      <c r="F192" s="2" t="s">
        <v>34</v>
      </c>
      <c r="G192" s="2" t="s">
        <v>50</v>
      </c>
      <c r="H192">
        <f t="shared" si="25"/>
        <v>42.45</v>
      </c>
      <c r="Y192">
        <f>SUM(Gasto_real[[#This Row],[Transporte]:[U2B Premium]])</f>
        <v>42.45</v>
      </c>
    </row>
    <row r="193" spans="1:25" x14ac:dyDescent="0.3">
      <c r="A193" s="8">
        <v>46334</v>
      </c>
      <c r="B193" s="5">
        <v>46327</v>
      </c>
      <c r="C193" s="5">
        <v>46341</v>
      </c>
      <c r="D193" s="6">
        <v>2</v>
      </c>
      <c r="E193" t="s">
        <v>18</v>
      </c>
      <c r="F193" s="2" t="s">
        <v>34</v>
      </c>
      <c r="G193" s="2" t="s">
        <v>50</v>
      </c>
      <c r="O193">
        <v>1800</v>
      </c>
      <c r="Y193">
        <f>SUM(Gasto_real[[#This Row],[Transporte]:[U2B Premium]])</f>
        <v>1800</v>
      </c>
    </row>
    <row r="194" spans="1:25" x14ac:dyDescent="0.3">
      <c r="A194" s="8">
        <v>46335</v>
      </c>
      <c r="B194" s="5">
        <v>46327</v>
      </c>
      <c r="C194" s="5">
        <v>46341</v>
      </c>
      <c r="D194" s="6">
        <v>0</v>
      </c>
      <c r="E194" t="s">
        <v>18</v>
      </c>
      <c r="F194" s="2" t="s">
        <v>34</v>
      </c>
      <c r="G194" s="2" t="s">
        <v>50</v>
      </c>
      <c r="H194">
        <f t="shared" ref="H194:H199" si="26">16.7+7.5+9.9+8.35</f>
        <v>42.45</v>
      </c>
      <c r="Y194">
        <f>SUM(Gasto_real[[#This Row],[Transporte]:[U2B Premium]])</f>
        <v>42.45</v>
      </c>
    </row>
    <row r="195" spans="1:25" x14ac:dyDescent="0.3">
      <c r="A195" s="8">
        <v>46336</v>
      </c>
      <c r="B195" s="5">
        <v>46327</v>
      </c>
      <c r="C195" s="5">
        <v>46341</v>
      </c>
      <c r="D195" s="6">
        <v>0</v>
      </c>
      <c r="E195" t="s">
        <v>18</v>
      </c>
      <c r="F195" s="2" t="s">
        <v>34</v>
      </c>
      <c r="G195" s="2" t="s">
        <v>50</v>
      </c>
      <c r="H195">
        <f t="shared" si="26"/>
        <v>42.45</v>
      </c>
      <c r="Y195">
        <f>SUM(Gasto_real[[#This Row],[Transporte]:[U2B Premium]])</f>
        <v>42.45</v>
      </c>
    </row>
    <row r="196" spans="1:25" x14ac:dyDescent="0.3">
      <c r="A196" s="8">
        <v>46337</v>
      </c>
      <c r="B196" s="5">
        <v>46327</v>
      </c>
      <c r="C196" s="5">
        <v>46341</v>
      </c>
      <c r="D196" s="6">
        <v>0</v>
      </c>
      <c r="E196" t="s">
        <v>18</v>
      </c>
      <c r="F196" s="2" t="s">
        <v>34</v>
      </c>
      <c r="G196" s="2" t="s">
        <v>50</v>
      </c>
      <c r="H196">
        <f t="shared" si="26"/>
        <v>42.45</v>
      </c>
      <c r="Y196">
        <f>SUM(Gasto_real[[#This Row],[Transporte]:[U2B Premium]])</f>
        <v>42.45</v>
      </c>
    </row>
    <row r="197" spans="1:25" x14ac:dyDescent="0.3">
      <c r="A197" s="8">
        <v>46338</v>
      </c>
      <c r="B197" s="5">
        <v>46327</v>
      </c>
      <c r="C197" s="5">
        <v>46341</v>
      </c>
      <c r="D197" s="6">
        <v>0</v>
      </c>
      <c r="E197" t="s">
        <v>18</v>
      </c>
      <c r="F197" s="2" t="s">
        <v>34</v>
      </c>
      <c r="G197" s="2" t="s">
        <v>50</v>
      </c>
      <c r="H197">
        <f t="shared" si="26"/>
        <v>42.45</v>
      </c>
      <c r="Y197">
        <f>SUM(Gasto_real[[#This Row],[Transporte]:[U2B Premium]])</f>
        <v>42.45</v>
      </c>
    </row>
    <row r="198" spans="1:25" x14ac:dyDescent="0.3">
      <c r="A198" s="8">
        <v>46339</v>
      </c>
      <c r="B198" s="5">
        <v>46327</v>
      </c>
      <c r="C198" s="5">
        <v>46341</v>
      </c>
      <c r="D198" s="6">
        <v>0</v>
      </c>
      <c r="E198" t="s">
        <v>18</v>
      </c>
      <c r="F198" s="2" t="s">
        <v>34</v>
      </c>
      <c r="G198" s="2" t="s">
        <v>50</v>
      </c>
      <c r="H198">
        <f t="shared" si="26"/>
        <v>42.45</v>
      </c>
      <c r="Y198">
        <f>SUM(Gasto_real[[#This Row],[Transporte]:[U2B Premium]])</f>
        <v>42.45</v>
      </c>
    </row>
    <row r="199" spans="1:25" x14ac:dyDescent="0.3">
      <c r="A199" s="8">
        <v>46340</v>
      </c>
      <c r="B199" s="5">
        <v>46327</v>
      </c>
      <c r="C199" s="5">
        <v>46341</v>
      </c>
      <c r="D199" s="6">
        <v>0</v>
      </c>
      <c r="E199" t="s">
        <v>18</v>
      </c>
      <c r="F199" s="2" t="s">
        <v>34</v>
      </c>
      <c r="G199" s="2" t="s">
        <v>50</v>
      </c>
      <c r="H199">
        <f t="shared" si="26"/>
        <v>42.45</v>
      </c>
      <c r="Y199">
        <f>SUM(Gasto_real[[#This Row],[Transporte]:[U2B Premium]])</f>
        <v>42.45</v>
      </c>
    </row>
    <row r="200" spans="1:25" x14ac:dyDescent="0.3">
      <c r="A200" s="8">
        <v>46341</v>
      </c>
      <c r="B200" s="5">
        <v>46327</v>
      </c>
      <c r="C200" s="5">
        <v>46341</v>
      </c>
      <c r="D200" s="6">
        <v>0</v>
      </c>
      <c r="E200" t="s">
        <v>18</v>
      </c>
      <c r="F200" s="2" t="s">
        <v>34</v>
      </c>
      <c r="G200" s="2" t="s">
        <v>50</v>
      </c>
      <c r="Y200">
        <f>SUM(Gasto_real[[#This Row],[Transporte]:[U2B Premium]])</f>
        <v>0</v>
      </c>
    </row>
    <row r="201" spans="1:25" x14ac:dyDescent="0.3">
      <c r="A201" s="8">
        <v>46342</v>
      </c>
      <c r="B201" s="5">
        <v>46342</v>
      </c>
      <c r="C201" s="5">
        <v>46356</v>
      </c>
      <c r="D201" s="6">
        <v>1</v>
      </c>
      <c r="E201" t="s">
        <v>19</v>
      </c>
      <c r="F201" s="2" t="s">
        <v>34</v>
      </c>
      <c r="G201" s="2" t="s">
        <v>50</v>
      </c>
      <c r="H201">
        <f t="shared" ref="H201:H206" si="27">16.7+7.5+9.9+8.35</f>
        <v>42.45</v>
      </c>
      <c r="I201">
        <v>450</v>
      </c>
      <c r="J201">
        <v>449</v>
      </c>
      <c r="K201">
        <v>239</v>
      </c>
      <c r="L201">
        <v>139</v>
      </c>
      <c r="O201">
        <v>1800</v>
      </c>
      <c r="Q201">
        <v>70</v>
      </c>
      <c r="T201">
        <v>321</v>
      </c>
      <c r="Y201">
        <f>SUM(Gasto_real[[#This Row],[Transporte]:[U2B Premium]])</f>
        <v>3510.45</v>
      </c>
    </row>
    <row r="202" spans="1:25" x14ac:dyDescent="0.3">
      <c r="A202" s="8">
        <v>46343</v>
      </c>
      <c r="B202" s="5">
        <v>46342</v>
      </c>
      <c r="C202" s="5">
        <v>46356</v>
      </c>
      <c r="D202" s="6">
        <v>0</v>
      </c>
      <c r="E202" t="s">
        <v>19</v>
      </c>
      <c r="F202" s="2" t="s">
        <v>34</v>
      </c>
      <c r="G202" s="2" t="s">
        <v>50</v>
      </c>
      <c r="H202">
        <f t="shared" si="27"/>
        <v>42.45</v>
      </c>
      <c r="Y202">
        <f>SUM(Gasto_real[[#This Row],[Transporte]:[U2B Premium]])</f>
        <v>42.45</v>
      </c>
    </row>
    <row r="203" spans="1:25" x14ac:dyDescent="0.3">
      <c r="A203" s="8">
        <v>46344</v>
      </c>
      <c r="B203" s="5">
        <v>46342</v>
      </c>
      <c r="C203" s="5">
        <v>46356</v>
      </c>
      <c r="D203" s="6">
        <v>0</v>
      </c>
      <c r="E203" t="s">
        <v>19</v>
      </c>
      <c r="F203" s="2" t="s">
        <v>34</v>
      </c>
      <c r="G203" s="2" t="s">
        <v>50</v>
      </c>
      <c r="H203">
        <f t="shared" si="27"/>
        <v>42.45</v>
      </c>
      <c r="Y203">
        <f>SUM(Gasto_real[[#This Row],[Transporte]:[U2B Premium]])</f>
        <v>42.45</v>
      </c>
    </row>
    <row r="204" spans="1:25" x14ac:dyDescent="0.3">
      <c r="A204" s="8">
        <v>46345</v>
      </c>
      <c r="B204" s="5">
        <v>46342</v>
      </c>
      <c r="C204" s="5">
        <v>46356</v>
      </c>
      <c r="D204" s="6">
        <v>0</v>
      </c>
      <c r="E204" t="s">
        <v>19</v>
      </c>
      <c r="F204" s="2" t="s">
        <v>34</v>
      </c>
      <c r="G204" s="2" t="s">
        <v>50</v>
      </c>
      <c r="H204">
        <f t="shared" si="27"/>
        <v>42.45</v>
      </c>
      <c r="Y204">
        <f>SUM(Gasto_real[[#This Row],[Transporte]:[U2B Premium]])</f>
        <v>42.45</v>
      </c>
    </row>
    <row r="205" spans="1:25" x14ac:dyDescent="0.3">
      <c r="A205" s="8">
        <v>46346</v>
      </c>
      <c r="B205" s="5">
        <v>46342</v>
      </c>
      <c r="C205" s="5">
        <v>46356</v>
      </c>
      <c r="D205" s="6">
        <v>0</v>
      </c>
      <c r="E205" t="s">
        <v>19</v>
      </c>
      <c r="F205" s="2" t="s">
        <v>34</v>
      </c>
      <c r="G205" s="2" t="s">
        <v>50</v>
      </c>
      <c r="H205">
        <f t="shared" si="27"/>
        <v>42.45</v>
      </c>
      <c r="Y205">
        <f>SUM(Gasto_real[[#This Row],[Transporte]:[U2B Premium]])</f>
        <v>42.45</v>
      </c>
    </row>
    <row r="206" spans="1:25" x14ac:dyDescent="0.3">
      <c r="A206" s="8">
        <v>46347</v>
      </c>
      <c r="B206" s="5">
        <v>46342</v>
      </c>
      <c r="C206" s="5">
        <v>46356</v>
      </c>
      <c r="D206" s="6">
        <v>0</v>
      </c>
      <c r="E206" t="s">
        <v>19</v>
      </c>
      <c r="F206" s="2" t="s">
        <v>34</v>
      </c>
      <c r="G206" s="2" t="s">
        <v>50</v>
      </c>
      <c r="H206">
        <f t="shared" si="27"/>
        <v>42.45</v>
      </c>
      <c r="Y206">
        <f>SUM(Gasto_real[[#This Row],[Transporte]:[U2B Premium]])</f>
        <v>42.45</v>
      </c>
    </row>
    <row r="207" spans="1:25" x14ac:dyDescent="0.3">
      <c r="A207" s="8">
        <v>46348</v>
      </c>
      <c r="B207" s="5">
        <v>46342</v>
      </c>
      <c r="C207" s="5">
        <v>46356</v>
      </c>
      <c r="D207" s="6">
        <v>0</v>
      </c>
      <c r="E207" t="s">
        <v>19</v>
      </c>
      <c r="F207" s="2" t="s">
        <v>34</v>
      </c>
      <c r="G207" s="2" t="s">
        <v>50</v>
      </c>
      <c r="Y207">
        <f>SUM(Gasto_real[[#This Row],[Transporte]:[U2B Premium]])</f>
        <v>0</v>
      </c>
    </row>
    <row r="208" spans="1:25" x14ac:dyDescent="0.3">
      <c r="A208" s="8">
        <v>46349</v>
      </c>
      <c r="B208" s="5">
        <v>46342</v>
      </c>
      <c r="C208" s="5">
        <v>46356</v>
      </c>
      <c r="D208" s="6">
        <v>2</v>
      </c>
      <c r="E208" t="s">
        <v>19</v>
      </c>
      <c r="F208" s="2" t="s">
        <v>34</v>
      </c>
      <c r="G208" s="2" t="s">
        <v>50</v>
      </c>
      <c r="H208">
        <f t="shared" ref="H208:H213" si="28">16.7+7.5+9.9+8.35</f>
        <v>42.45</v>
      </c>
      <c r="O208">
        <v>1800</v>
      </c>
      <c r="Y208">
        <f>SUM(Gasto_real[[#This Row],[Transporte]:[U2B Premium]])</f>
        <v>1842.45</v>
      </c>
    </row>
    <row r="209" spans="1:25" x14ac:dyDescent="0.3">
      <c r="A209" s="8">
        <v>46350</v>
      </c>
      <c r="B209" s="5">
        <v>46342</v>
      </c>
      <c r="C209" s="5">
        <v>46356</v>
      </c>
      <c r="D209" s="6">
        <v>0</v>
      </c>
      <c r="E209" t="s">
        <v>19</v>
      </c>
      <c r="F209" s="2" t="s">
        <v>34</v>
      </c>
      <c r="G209" s="2" t="s">
        <v>50</v>
      </c>
      <c r="H209">
        <f t="shared" si="28"/>
        <v>42.45</v>
      </c>
      <c r="Y209">
        <f>SUM(Gasto_real[[#This Row],[Transporte]:[U2B Premium]])</f>
        <v>42.45</v>
      </c>
    </row>
    <row r="210" spans="1:25" x14ac:dyDescent="0.3">
      <c r="A210" s="8">
        <v>46351</v>
      </c>
      <c r="B210" s="5">
        <v>46342</v>
      </c>
      <c r="C210" s="5">
        <v>46356</v>
      </c>
      <c r="D210" s="6">
        <v>0</v>
      </c>
      <c r="E210" t="s">
        <v>19</v>
      </c>
      <c r="F210" s="2" t="s">
        <v>34</v>
      </c>
      <c r="G210" s="2" t="s">
        <v>50</v>
      </c>
      <c r="H210">
        <f t="shared" si="28"/>
        <v>42.45</v>
      </c>
      <c r="Y210">
        <f>SUM(Gasto_real[[#This Row],[Transporte]:[U2B Premium]])</f>
        <v>42.45</v>
      </c>
    </row>
    <row r="211" spans="1:25" x14ac:dyDescent="0.3">
      <c r="A211" s="8">
        <v>46352</v>
      </c>
      <c r="B211" s="5">
        <v>46342</v>
      </c>
      <c r="C211" s="5">
        <v>46356</v>
      </c>
      <c r="D211" s="6">
        <v>0</v>
      </c>
      <c r="E211" t="s">
        <v>19</v>
      </c>
      <c r="F211" s="2" t="s">
        <v>34</v>
      </c>
      <c r="G211" s="2" t="s">
        <v>50</v>
      </c>
      <c r="H211">
        <f t="shared" si="28"/>
        <v>42.45</v>
      </c>
      <c r="Y211">
        <f>SUM(Gasto_real[[#This Row],[Transporte]:[U2B Premium]])</f>
        <v>42.45</v>
      </c>
    </row>
    <row r="212" spans="1:25" x14ac:dyDescent="0.3">
      <c r="A212" s="8">
        <v>46353</v>
      </c>
      <c r="B212" s="5">
        <v>46342</v>
      </c>
      <c r="C212" s="5">
        <v>46356</v>
      </c>
      <c r="D212" s="6">
        <v>0</v>
      </c>
      <c r="E212" t="s">
        <v>19</v>
      </c>
      <c r="F212" s="2" t="s">
        <v>34</v>
      </c>
      <c r="G212" s="2" t="s">
        <v>50</v>
      </c>
      <c r="H212">
        <f t="shared" si="28"/>
        <v>42.45</v>
      </c>
      <c r="Y212">
        <f>SUM(Gasto_real[[#This Row],[Transporte]:[U2B Premium]])</f>
        <v>42.45</v>
      </c>
    </row>
    <row r="213" spans="1:25" x14ac:dyDescent="0.3">
      <c r="A213" s="8">
        <v>46354</v>
      </c>
      <c r="B213" s="5">
        <v>46342</v>
      </c>
      <c r="C213" s="5">
        <v>46356</v>
      </c>
      <c r="D213" s="6">
        <v>0</v>
      </c>
      <c r="E213" t="s">
        <v>19</v>
      </c>
      <c r="F213" s="2" t="s">
        <v>34</v>
      </c>
      <c r="G213" s="2" t="s">
        <v>50</v>
      </c>
      <c r="H213">
        <f t="shared" si="28"/>
        <v>42.45</v>
      </c>
      <c r="Y213">
        <f>SUM(Gasto_real[[#This Row],[Transporte]:[U2B Premium]])</f>
        <v>42.45</v>
      </c>
    </row>
    <row r="214" spans="1:25" x14ac:dyDescent="0.3">
      <c r="A214" s="8">
        <v>46355</v>
      </c>
      <c r="B214" s="5">
        <v>46342</v>
      </c>
      <c r="C214" s="5">
        <v>46356</v>
      </c>
      <c r="D214" s="6">
        <v>0</v>
      </c>
      <c r="E214" t="s">
        <v>19</v>
      </c>
      <c r="F214" s="2" t="s">
        <v>34</v>
      </c>
      <c r="G214" s="2" t="s">
        <v>50</v>
      </c>
      <c r="Y214">
        <f>SUM(Gasto_real[[#This Row],[Transporte]:[U2B Premium]])</f>
        <v>0</v>
      </c>
    </row>
    <row r="215" spans="1:25" x14ac:dyDescent="0.3">
      <c r="A215" s="8">
        <v>46356</v>
      </c>
      <c r="B215" s="5">
        <v>46342</v>
      </c>
      <c r="C215" s="5">
        <v>46356</v>
      </c>
      <c r="D215" s="6">
        <v>0</v>
      </c>
      <c r="E215" t="s">
        <v>19</v>
      </c>
      <c r="F215" s="2" t="s">
        <v>34</v>
      </c>
      <c r="G215" s="2" t="s">
        <v>50</v>
      </c>
      <c r="H215">
        <f t="shared" ref="H215:H220" si="29">16.7+7.5+9.9+8.35</f>
        <v>42.45</v>
      </c>
      <c r="Y215">
        <f>SUM(Gasto_real[[#This Row],[Transporte]:[U2B Premium]])</f>
        <v>42.45</v>
      </c>
    </row>
    <row r="216" spans="1:25" x14ac:dyDescent="0.3">
      <c r="A216" s="8">
        <v>46357</v>
      </c>
      <c r="B216" s="5">
        <v>46357</v>
      </c>
      <c r="C216" s="5">
        <v>46371</v>
      </c>
      <c r="D216" s="6">
        <v>1</v>
      </c>
      <c r="E216" t="s">
        <v>20</v>
      </c>
      <c r="F216" s="2" t="s">
        <v>34</v>
      </c>
      <c r="G216" s="2" t="s">
        <v>50</v>
      </c>
      <c r="H216">
        <f t="shared" si="29"/>
        <v>42.45</v>
      </c>
      <c r="M216">
        <v>600</v>
      </c>
      <c r="O216">
        <v>1800</v>
      </c>
      <c r="R216">
        <v>70</v>
      </c>
      <c r="S216">
        <v>70</v>
      </c>
      <c r="Y216">
        <f>SUM(Gasto_real[[#This Row],[Transporte]:[U2B Premium]])</f>
        <v>2582.4499999999998</v>
      </c>
    </row>
    <row r="217" spans="1:25" x14ac:dyDescent="0.3">
      <c r="A217" s="8">
        <v>46358</v>
      </c>
      <c r="B217" s="5">
        <v>46357</v>
      </c>
      <c r="C217" s="5">
        <v>46371</v>
      </c>
      <c r="D217" s="6">
        <v>0</v>
      </c>
      <c r="E217" t="s">
        <v>20</v>
      </c>
      <c r="F217" s="2" t="s">
        <v>34</v>
      </c>
      <c r="G217" s="2" t="s">
        <v>50</v>
      </c>
      <c r="H217">
        <f t="shared" si="29"/>
        <v>42.45</v>
      </c>
      <c r="R217">
        <v>70</v>
      </c>
      <c r="S217">
        <v>70</v>
      </c>
      <c r="Y217">
        <f>SUM(Gasto_real[[#This Row],[Transporte]:[U2B Premium]])</f>
        <v>182.45</v>
      </c>
    </row>
    <row r="218" spans="1:25" x14ac:dyDescent="0.3">
      <c r="A218" s="8">
        <v>46359</v>
      </c>
      <c r="B218" s="5">
        <v>46357</v>
      </c>
      <c r="C218" s="5">
        <v>46371</v>
      </c>
      <c r="D218" s="6">
        <v>0</v>
      </c>
      <c r="E218" t="s">
        <v>20</v>
      </c>
      <c r="F218" s="2" t="s">
        <v>34</v>
      </c>
      <c r="G218" s="2" t="s">
        <v>50</v>
      </c>
      <c r="H218">
        <f t="shared" si="29"/>
        <v>42.45</v>
      </c>
      <c r="Y218">
        <f>SUM(Gasto_real[[#This Row],[Transporte]:[U2B Premium]])</f>
        <v>42.45</v>
      </c>
    </row>
    <row r="219" spans="1:25" x14ac:dyDescent="0.3">
      <c r="A219" s="8">
        <v>46360</v>
      </c>
      <c r="B219" s="5">
        <v>46357</v>
      </c>
      <c r="C219" s="5">
        <v>46371</v>
      </c>
      <c r="D219" s="6">
        <v>0</v>
      </c>
      <c r="E219" t="s">
        <v>20</v>
      </c>
      <c r="F219" s="2" t="s">
        <v>34</v>
      </c>
      <c r="G219" s="2" t="s">
        <v>50</v>
      </c>
      <c r="H219">
        <f t="shared" si="29"/>
        <v>42.45</v>
      </c>
      <c r="Y219">
        <f>SUM(Gasto_real[[#This Row],[Transporte]:[U2B Premium]])</f>
        <v>42.45</v>
      </c>
    </row>
    <row r="220" spans="1:25" x14ac:dyDescent="0.3">
      <c r="A220" s="8">
        <v>46361</v>
      </c>
      <c r="B220" s="5">
        <v>46357</v>
      </c>
      <c r="C220" s="5">
        <v>46371</v>
      </c>
      <c r="D220" s="6">
        <v>0</v>
      </c>
      <c r="E220" t="s">
        <v>20</v>
      </c>
      <c r="F220" s="2" t="s">
        <v>34</v>
      </c>
      <c r="G220" s="2" t="s">
        <v>50</v>
      </c>
      <c r="H220">
        <f t="shared" si="29"/>
        <v>42.45</v>
      </c>
      <c r="Y220">
        <f>SUM(Gasto_real[[#This Row],[Transporte]:[U2B Premium]])</f>
        <v>42.45</v>
      </c>
    </row>
    <row r="221" spans="1:25" x14ac:dyDescent="0.3">
      <c r="A221" s="8">
        <v>46362</v>
      </c>
      <c r="B221" s="5">
        <v>46357</v>
      </c>
      <c r="C221" s="5">
        <v>46371</v>
      </c>
      <c r="D221" s="6">
        <v>0</v>
      </c>
      <c r="E221" t="s">
        <v>20</v>
      </c>
      <c r="F221" s="2" t="s">
        <v>34</v>
      </c>
      <c r="G221" s="2" t="s">
        <v>50</v>
      </c>
      <c r="Y221">
        <f>SUM(Gasto_real[[#This Row],[Transporte]:[U2B Premium]])</f>
        <v>0</v>
      </c>
    </row>
    <row r="222" spans="1:25" x14ac:dyDescent="0.3">
      <c r="A222" s="8">
        <v>46363</v>
      </c>
      <c r="B222" s="5">
        <v>46357</v>
      </c>
      <c r="C222" s="5">
        <v>46371</v>
      </c>
      <c r="D222" s="6">
        <v>0</v>
      </c>
      <c r="E222" t="s">
        <v>20</v>
      </c>
      <c r="F222" s="2" t="s">
        <v>34</v>
      </c>
      <c r="G222" s="2" t="s">
        <v>50</v>
      </c>
      <c r="H222">
        <f t="shared" ref="H222:H227" si="30">16.7+7.5+9.9+8.35</f>
        <v>42.45</v>
      </c>
      <c r="Y222">
        <f>SUM(Gasto_real[[#This Row],[Transporte]:[U2B Premium]])</f>
        <v>42.45</v>
      </c>
    </row>
    <row r="223" spans="1:25" x14ac:dyDescent="0.3">
      <c r="A223" s="8">
        <v>46364</v>
      </c>
      <c r="B223" s="5">
        <v>46357</v>
      </c>
      <c r="C223" s="5">
        <v>46371</v>
      </c>
      <c r="D223" s="6">
        <v>2</v>
      </c>
      <c r="E223" t="s">
        <v>20</v>
      </c>
      <c r="F223" s="2" t="s">
        <v>34</v>
      </c>
      <c r="G223" s="2" t="s">
        <v>50</v>
      </c>
      <c r="H223">
        <f t="shared" si="30"/>
        <v>42.45</v>
      </c>
      <c r="O223">
        <v>1800</v>
      </c>
      <c r="Y223">
        <f>SUM(Gasto_real[[#This Row],[Transporte]:[U2B Premium]])</f>
        <v>1842.45</v>
      </c>
    </row>
    <row r="224" spans="1:25" x14ac:dyDescent="0.3">
      <c r="A224" s="8">
        <v>46365</v>
      </c>
      <c r="B224" s="5">
        <v>46357</v>
      </c>
      <c r="C224" s="5">
        <v>46371</v>
      </c>
      <c r="D224" s="6">
        <v>0</v>
      </c>
      <c r="E224" t="s">
        <v>20</v>
      </c>
      <c r="F224" s="2" t="s">
        <v>34</v>
      </c>
      <c r="G224" s="2" t="s">
        <v>50</v>
      </c>
      <c r="H224">
        <f t="shared" si="30"/>
        <v>42.45</v>
      </c>
      <c r="Y224">
        <f>SUM(Gasto_real[[#This Row],[Transporte]:[U2B Premium]])</f>
        <v>42.45</v>
      </c>
    </row>
    <row r="225" spans="1:25" x14ac:dyDescent="0.3">
      <c r="A225" s="8">
        <v>46366</v>
      </c>
      <c r="B225" s="5">
        <v>46357</v>
      </c>
      <c r="C225" s="5">
        <v>46371</v>
      </c>
      <c r="D225" s="6">
        <v>0</v>
      </c>
      <c r="E225" t="s">
        <v>20</v>
      </c>
      <c r="F225" s="2" t="s">
        <v>34</v>
      </c>
      <c r="G225" s="2" t="s">
        <v>50</v>
      </c>
      <c r="H225">
        <f t="shared" si="30"/>
        <v>42.45</v>
      </c>
      <c r="Y225">
        <f>SUM(Gasto_real[[#This Row],[Transporte]:[U2B Premium]])</f>
        <v>42.45</v>
      </c>
    </row>
    <row r="226" spans="1:25" x14ac:dyDescent="0.3">
      <c r="A226" s="8">
        <v>46367</v>
      </c>
      <c r="B226" s="5">
        <v>46357</v>
      </c>
      <c r="C226" s="5">
        <v>46371</v>
      </c>
      <c r="D226" s="6">
        <v>0</v>
      </c>
      <c r="E226" t="s">
        <v>20</v>
      </c>
      <c r="F226" s="2" t="s">
        <v>34</v>
      </c>
      <c r="G226" s="2" t="s">
        <v>50</v>
      </c>
      <c r="H226">
        <f t="shared" si="30"/>
        <v>42.45</v>
      </c>
      <c r="Y226">
        <f>SUM(Gasto_real[[#This Row],[Transporte]:[U2B Premium]])</f>
        <v>42.45</v>
      </c>
    </row>
    <row r="227" spans="1:25" x14ac:dyDescent="0.3">
      <c r="A227" s="8">
        <v>46368</v>
      </c>
      <c r="B227" s="5">
        <v>46357</v>
      </c>
      <c r="C227" s="5">
        <v>46371</v>
      </c>
      <c r="D227" s="6">
        <v>0</v>
      </c>
      <c r="E227" t="s">
        <v>20</v>
      </c>
      <c r="F227" s="2" t="s">
        <v>34</v>
      </c>
      <c r="G227" s="2" t="s">
        <v>50</v>
      </c>
      <c r="H227">
        <f t="shared" si="30"/>
        <v>42.45</v>
      </c>
      <c r="Y227">
        <f>SUM(Gasto_real[[#This Row],[Transporte]:[U2B Premium]])</f>
        <v>42.45</v>
      </c>
    </row>
    <row r="228" spans="1:25" x14ac:dyDescent="0.3">
      <c r="A228" s="8">
        <v>46369</v>
      </c>
      <c r="B228" s="5">
        <v>46357</v>
      </c>
      <c r="C228" s="5">
        <v>46371</v>
      </c>
      <c r="D228" s="6">
        <v>0</v>
      </c>
      <c r="E228" t="s">
        <v>20</v>
      </c>
      <c r="F228" s="2" t="s">
        <v>34</v>
      </c>
      <c r="G228" s="2" t="s">
        <v>50</v>
      </c>
      <c r="Y228">
        <f>SUM(Gasto_real[[#This Row],[Transporte]:[U2B Premium]])</f>
        <v>0</v>
      </c>
    </row>
    <row r="229" spans="1:25" x14ac:dyDescent="0.3">
      <c r="A229" s="8">
        <v>46370</v>
      </c>
      <c r="B229" s="5">
        <v>46357</v>
      </c>
      <c r="C229" s="5">
        <v>46371</v>
      </c>
      <c r="D229" s="6">
        <v>0</v>
      </c>
      <c r="E229" t="s">
        <v>20</v>
      </c>
      <c r="F229" s="2" t="s">
        <v>34</v>
      </c>
      <c r="G229" s="2" t="s">
        <v>50</v>
      </c>
      <c r="H229">
        <f t="shared" ref="H229:H234" si="31">16.7+7.5+9.9+8.35</f>
        <v>42.45</v>
      </c>
      <c r="Y229">
        <f>SUM(Gasto_real[[#This Row],[Transporte]:[U2B Premium]])</f>
        <v>42.45</v>
      </c>
    </row>
    <row r="230" spans="1:25" x14ac:dyDescent="0.3">
      <c r="A230" s="8">
        <v>46371</v>
      </c>
      <c r="B230" s="5">
        <v>46357</v>
      </c>
      <c r="C230" s="5">
        <v>46371</v>
      </c>
      <c r="D230" s="6">
        <v>0</v>
      </c>
      <c r="E230" t="s">
        <v>20</v>
      </c>
      <c r="F230" s="2" t="s">
        <v>34</v>
      </c>
      <c r="G230" s="2" t="s">
        <v>50</v>
      </c>
      <c r="H230">
        <f t="shared" si="31"/>
        <v>42.45</v>
      </c>
      <c r="Y230">
        <f>SUM(Gasto_real[[#This Row],[Transporte]:[U2B Premium]])</f>
        <v>42.45</v>
      </c>
    </row>
    <row r="231" spans="1:25" x14ac:dyDescent="0.3">
      <c r="A231" s="8">
        <v>46372</v>
      </c>
      <c r="B231" s="5">
        <v>46372</v>
      </c>
      <c r="C231" s="5">
        <v>46143</v>
      </c>
      <c r="D231" s="6">
        <v>1</v>
      </c>
      <c r="E231" t="s">
        <v>21</v>
      </c>
      <c r="F231" s="2" t="s">
        <v>34</v>
      </c>
      <c r="G231" s="2" t="s">
        <v>50</v>
      </c>
      <c r="H231">
        <f t="shared" si="31"/>
        <v>42.45</v>
      </c>
      <c r="I231">
        <v>450</v>
      </c>
      <c r="J231">
        <v>449</v>
      </c>
      <c r="K231">
        <v>239</v>
      </c>
      <c r="L231">
        <v>139</v>
      </c>
      <c r="O231">
        <v>1800</v>
      </c>
      <c r="Q231">
        <v>70</v>
      </c>
      <c r="T231">
        <v>321</v>
      </c>
      <c r="Y231">
        <f>SUM(Gasto_real[[#This Row],[Transporte]:[U2B Premium]])</f>
        <v>3510.45</v>
      </c>
    </row>
    <row r="232" spans="1:25" x14ac:dyDescent="0.3">
      <c r="A232" s="8">
        <v>46373</v>
      </c>
      <c r="B232" s="5">
        <v>46372</v>
      </c>
      <c r="C232" s="5">
        <v>46143</v>
      </c>
      <c r="D232" s="6">
        <v>0</v>
      </c>
      <c r="E232" t="s">
        <v>21</v>
      </c>
      <c r="F232" s="2" t="s">
        <v>34</v>
      </c>
      <c r="G232" s="2" t="s">
        <v>50</v>
      </c>
      <c r="H232">
        <f t="shared" si="31"/>
        <v>42.45</v>
      </c>
      <c r="Y232">
        <f>SUM(Gasto_real[[#This Row],[Transporte]:[U2B Premium]])</f>
        <v>42.45</v>
      </c>
    </row>
    <row r="233" spans="1:25" x14ac:dyDescent="0.3">
      <c r="A233" s="8">
        <v>46374</v>
      </c>
      <c r="B233" s="5">
        <v>46372</v>
      </c>
      <c r="C233" s="5">
        <v>46143</v>
      </c>
      <c r="D233" s="6">
        <v>0</v>
      </c>
      <c r="E233" t="s">
        <v>21</v>
      </c>
      <c r="F233" s="2" t="s">
        <v>34</v>
      </c>
      <c r="G233" s="2" t="s">
        <v>50</v>
      </c>
      <c r="H233">
        <f t="shared" si="31"/>
        <v>42.45</v>
      </c>
      <c r="Y233">
        <f>SUM(Gasto_real[[#This Row],[Transporte]:[U2B Premium]])</f>
        <v>42.45</v>
      </c>
    </row>
    <row r="234" spans="1:25" x14ac:dyDescent="0.3">
      <c r="A234" s="8">
        <v>46375</v>
      </c>
      <c r="B234" s="5">
        <v>46372</v>
      </c>
      <c r="C234" s="5">
        <v>46143</v>
      </c>
      <c r="D234" s="6">
        <v>0</v>
      </c>
      <c r="E234" t="s">
        <v>21</v>
      </c>
      <c r="F234" s="2" t="s">
        <v>34</v>
      </c>
      <c r="G234" s="2" t="s">
        <v>50</v>
      </c>
      <c r="H234">
        <f t="shared" si="31"/>
        <v>42.45</v>
      </c>
      <c r="Y234">
        <f>SUM(Gasto_real[[#This Row],[Transporte]:[U2B Premium]])</f>
        <v>42.45</v>
      </c>
    </row>
    <row r="235" spans="1:25" x14ac:dyDescent="0.3">
      <c r="A235" s="8">
        <v>46376</v>
      </c>
      <c r="B235" s="5">
        <v>46376</v>
      </c>
      <c r="C235" s="5">
        <v>46376</v>
      </c>
      <c r="D235" s="6">
        <v>1</v>
      </c>
      <c r="E235" t="s">
        <v>55</v>
      </c>
      <c r="F235" s="2" t="s">
        <v>34</v>
      </c>
      <c r="G235" s="2" t="s">
        <v>50</v>
      </c>
      <c r="O235">
        <v>1800</v>
      </c>
      <c r="R235">
        <v>70</v>
      </c>
      <c r="S235">
        <v>70</v>
      </c>
      <c r="Y235">
        <f>SUM(Gasto_real[[#This Row],[Transporte]:[U2B Premium]])</f>
        <v>1940</v>
      </c>
    </row>
    <row r="236" spans="1:25" x14ac:dyDescent="0.3">
      <c r="A236" s="8">
        <v>46377</v>
      </c>
      <c r="B236" s="5">
        <v>46372</v>
      </c>
      <c r="C236" s="5">
        <v>46143</v>
      </c>
      <c r="D236" s="6">
        <v>0</v>
      </c>
      <c r="E236" t="s">
        <v>21</v>
      </c>
      <c r="F236" s="2" t="s">
        <v>34</v>
      </c>
      <c r="G236" s="2" t="s">
        <v>50</v>
      </c>
      <c r="H236">
        <f t="shared" ref="H236:H241" si="32">16.7+7.5+9.9+8.35</f>
        <v>42.45</v>
      </c>
      <c r="Y236">
        <f>SUM(Gasto_real[[#This Row],[Transporte]:[U2B Premium]])</f>
        <v>42.45</v>
      </c>
    </row>
    <row r="237" spans="1:25" x14ac:dyDescent="0.3">
      <c r="A237" s="8">
        <v>46378</v>
      </c>
      <c r="B237" s="5">
        <v>46372</v>
      </c>
      <c r="C237" s="5">
        <v>46143</v>
      </c>
      <c r="D237" s="6">
        <v>0</v>
      </c>
      <c r="E237" t="s">
        <v>21</v>
      </c>
      <c r="F237" s="2" t="s">
        <v>34</v>
      </c>
      <c r="G237" s="2" t="s">
        <v>50</v>
      </c>
      <c r="H237">
        <f t="shared" si="32"/>
        <v>42.45</v>
      </c>
      <c r="Y237">
        <f>SUM(Gasto_real[[#This Row],[Transporte]:[U2B Premium]])</f>
        <v>42.45</v>
      </c>
    </row>
    <row r="238" spans="1:25" x14ac:dyDescent="0.3">
      <c r="A238" s="8">
        <v>46379</v>
      </c>
      <c r="B238" s="5">
        <v>46372</v>
      </c>
      <c r="C238" s="5">
        <v>46143</v>
      </c>
      <c r="D238" s="6">
        <v>2</v>
      </c>
      <c r="E238" t="s">
        <v>21</v>
      </c>
      <c r="F238" s="2" t="s">
        <v>34</v>
      </c>
      <c r="G238" s="2" t="s">
        <v>50</v>
      </c>
      <c r="H238">
        <f t="shared" si="32"/>
        <v>42.45</v>
      </c>
      <c r="O238">
        <v>1800</v>
      </c>
      <c r="Y238">
        <f>SUM(Gasto_real[[#This Row],[Transporte]:[U2B Premium]])</f>
        <v>1842.45</v>
      </c>
    </row>
    <row r="239" spans="1:25" x14ac:dyDescent="0.3">
      <c r="A239" s="8">
        <v>46380</v>
      </c>
      <c r="B239" s="5">
        <v>46372</v>
      </c>
      <c r="C239" s="5">
        <v>46143</v>
      </c>
      <c r="D239" s="6">
        <v>0</v>
      </c>
      <c r="E239" t="s">
        <v>21</v>
      </c>
      <c r="F239" s="2" t="s">
        <v>34</v>
      </c>
      <c r="G239" s="2" t="s">
        <v>50</v>
      </c>
      <c r="H239">
        <f t="shared" si="32"/>
        <v>42.45</v>
      </c>
      <c r="Y239">
        <f>SUM(Gasto_real[[#This Row],[Transporte]:[U2B Premium]])</f>
        <v>42.45</v>
      </c>
    </row>
    <row r="240" spans="1:25" x14ac:dyDescent="0.3">
      <c r="A240" s="8">
        <v>46381</v>
      </c>
      <c r="B240" s="5">
        <v>46372</v>
      </c>
      <c r="C240" s="5">
        <v>46143</v>
      </c>
      <c r="D240" s="6">
        <v>0</v>
      </c>
      <c r="E240" t="s">
        <v>21</v>
      </c>
      <c r="F240" s="2" t="s">
        <v>34</v>
      </c>
      <c r="G240" s="2" t="s">
        <v>50</v>
      </c>
      <c r="H240">
        <f t="shared" si="32"/>
        <v>42.45</v>
      </c>
      <c r="Y240">
        <f>SUM(Gasto_real[[#This Row],[Transporte]:[U2B Premium]])</f>
        <v>42.45</v>
      </c>
    </row>
    <row r="241" spans="1:25" x14ac:dyDescent="0.3">
      <c r="A241" s="8">
        <v>46382</v>
      </c>
      <c r="B241" s="5">
        <v>46372</v>
      </c>
      <c r="C241" s="5">
        <v>46143</v>
      </c>
      <c r="D241" s="6">
        <v>0</v>
      </c>
      <c r="E241" t="s">
        <v>21</v>
      </c>
      <c r="F241" s="2" t="s">
        <v>34</v>
      </c>
      <c r="G241" s="2" t="s">
        <v>50</v>
      </c>
      <c r="H241">
        <f t="shared" si="32"/>
        <v>42.45</v>
      </c>
      <c r="Y241">
        <f>SUM(Gasto_real[[#This Row],[Transporte]:[U2B Premium]])</f>
        <v>42.45</v>
      </c>
    </row>
    <row r="242" spans="1:25" x14ac:dyDescent="0.3">
      <c r="A242" s="8">
        <v>46383</v>
      </c>
      <c r="B242" s="5">
        <v>46372</v>
      </c>
      <c r="C242" s="5">
        <v>46143</v>
      </c>
      <c r="D242" s="6">
        <v>0</v>
      </c>
      <c r="E242" t="s">
        <v>21</v>
      </c>
      <c r="F242" s="2" t="s">
        <v>34</v>
      </c>
      <c r="G242" s="2" t="s">
        <v>50</v>
      </c>
      <c r="Y242">
        <f>SUM(Gasto_real[[#This Row],[Transporte]:[U2B Premium]])</f>
        <v>0</v>
      </c>
    </row>
    <row r="243" spans="1:25" x14ac:dyDescent="0.3">
      <c r="A243" s="8">
        <v>46384</v>
      </c>
      <c r="B243" s="5">
        <v>46372</v>
      </c>
      <c r="C243" s="5">
        <v>46143</v>
      </c>
      <c r="D243" s="6">
        <v>0</v>
      </c>
      <c r="E243" t="s">
        <v>21</v>
      </c>
      <c r="F243" s="2" t="s">
        <v>34</v>
      </c>
      <c r="G243" s="2" t="s">
        <v>50</v>
      </c>
      <c r="H243">
        <f t="shared" ref="H243:H246" si="33">16.7+7.5+9.9+8.35</f>
        <v>42.45</v>
      </c>
      <c r="Y243">
        <f>SUM(Gasto_real[[#This Row],[Transporte]:[U2B Premium]])</f>
        <v>42.45</v>
      </c>
    </row>
    <row r="244" spans="1:25" x14ac:dyDescent="0.3">
      <c r="A244" s="8">
        <v>46385</v>
      </c>
      <c r="B244" s="5">
        <v>46372</v>
      </c>
      <c r="C244" s="5">
        <v>46143</v>
      </c>
      <c r="D244" s="6">
        <v>0</v>
      </c>
      <c r="E244" t="s">
        <v>21</v>
      </c>
      <c r="F244" s="2" t="s">
        <v>34</v>
      </c>
      <c r="G244" s="2" t="s">
        <v>50</v>
      </c>
      <c r="H244">
        <f t="shared" si="33"/>
        <v>42.45</v>
      </c>
      <c r="Y244">
        <f>SUM(Gasto_real[[#This Row],[Transporte]:[U2B Premium]])</f>
        <v>42.45</v>
      </c>
    </row>
    <row r="245" spans="1:25" x14ac:dyDescent="0.3">
      <c r="A245" s="8">
        <v>46386</v>
      </c>
      <c r="B245" s="5">
        <v>46372</v>
      </c>
      <c r="C245" s="5">
        <v>46143</v>
      </c>
      <c r="D245" s="6">
        <v>0</v>
      </c>
      <c r="E245" t="s">
        <v>21</v>
      </c>
      <c r="F245" s="2" t="s">
        <v>34</v>
      </c>
      <c r="G245" s="2" t="s">
        <v>50</v>
      </c>
      <c r="H245">
        <f t="shared" si="33"/>
        <v>42.45</v>
      </c>
      <c r="Y245">
        <f>SUM(Gasto_real[[#This Row],[Transporte]:[U2B Premium]])</f>
        <v>42.45</v>
      </c>
    </row>
    <row r="246" spans="1:25" x14ac:dyDescent="0.3">
      <c r="A246" s="8">
        <v>46387</v>
      </c>
      <c r="B246" s="5">
        <v>46372</v>
      </c>
      <c r="C246" s="5">
        <v>46143</v>
      </c>
      <c r="D246" s="6">
        <v>0</v>
      </c>
      <c r="E246" t="s">
        <v>21</v>
      </c>
      <c r="F246" s="2" t="s">
        <v>34</v>
      </c>
      <c r="G246" s="2" t="s">
        <v>50</v>
      </c>
      <c r="H246">
        <f t="shared" si="33"/>
        <v>42.45</v>
      </c>
      <c r="Y246">
        <f>SUM(Gasto_real[[#This Row],[Transporte]:[U2B Premium]])</f>
        <v>42.45</v>
      </c>
    </row>
    <row r="247" spans="1:25" x14ac:dyDescent="0.3">
      <c r="A247" s="8"/>
      <c r="B247" s="5"/>
      <c r="C247" s="5"/>
      <c r="D247" s="6"/>
      <c r="F247" s="2"/>
      <c r="G247" s="2"/>
    </row>
  </sheetData>
  <conditionalFormatting sqref="A1:A246">
    <cfRule type="expression" dxfId="5" priority="1">
      <formula>TODAY() = A1</formula>
    </cfRule>
    <cfRule type="expression" dxfId="4" priority="2">
      <formula>WEEKDAY(A1)=1</formula>
    </cfRule>
  </conditionalFormatting>
  <pageMargins left="0.7" right="0.7" top="0.75" bottom="0.75" header="0.3" footer="0.3"/>
  <ignoredErrors>
    <ignoredError sqref="A2:A246 D2:D246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8091-7CC1-477F-B255-84BB326C3C53}">
  <sheetPr codeName="Hoja4"/>
  <dimension ref="A1:AC247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E17" sqref="E17"/>
    </sheetView>
  </sheetViews>
  <sheetFormatPr baseColWidth="10" defaultRowHeight="14.4" x14ac:dyDescent="0.3"/>
  <cols>
    <col min="1" max="3" width="10.33203125" bestFit="1" customWidth="1"/>
    <col min="4" max="4" width="6.77734375" customWidth="1"/>
    <col min="5" max="5" width="5.88671875" bestFit="1" customWidth="1"/>
    <col min="6" max="6" width="6.44140625" customWidth="1"/>
    <col min="7" max="7" width="10" bestFit="1" customWidth="1"/>
    <col min="8" max="9" width="5" bestFit="1" customWidth="1"/>
    <col min="10" max="10" width="3.5546875" bestFit="1" customWidth="1"/>
    <col min="11" max="11" width="6" bestFit="1" customWidth="1"/>
    <col min="12" max="14" width="5" bestFit="1" customWidth="1"/>
    <col min="15" max="15" width="3.5546875" bestFit="1" customWidth="1"/>
    <col min="16" max="16" width="6" bestFit="1" customWidth="1"/>
    <col min="17" max="17" width="5" bestFit="1" customWidth="1"/>
    <col min="18" max="24" width="3.5546875" bestFit="1" customWidth="1"/>
  </cols>
  <sheetData>
    <row r="1" spans="1:29" ht="69.599999999999994" x14ac:dyDescent="0.3">
      <c r="A1" s="2" t="s">
        <v>5</v>
      </c>
      <c r="B1" s="2" t="s">
        <v>58</v>
      </c>
      <c r="C1" s="2" t="s">
        <v>51</v>
      </c>
      <c r="D1" s="2" t="s">
        <v>56</v>
      </c>
      <c r="E1" s="2" t="s">
        <v>22</v>
      </c>
      <c r="F1" s="2" t="s">
        <v>25</v>
      </c>
      <c r="G1" s="2" t="s">
        <v>49</v>
      </c>
      <c r="H1" s="4" t="s">
        <v>36</v>
      </c>
      <c r="I1" s="3" t="s">
        <v>37</v>
      </c>
      <c r="J1" s="3" t="s">
        <v>38</v>
      </c>
      <c r="K1" s="3" t="s">
        <v>53</v>
      </c>
      <c r="L1" s="3" t="s">
        <v>52</v>
      </c>
      <c r="M1" s="3" t="s">
        <v>39</v>
      </c>
      <c r="N1" s="3" t="s">
        <v>40</v>
      </c>
      <c r="O1" s="3" t="s">
        <v>47</v>
      </c>
      <c r="P1" s="3" t="s">
        <v>48</v>
      </c>
      <c r="Q1" s="3" t="s">
        <v>78</v>
      </c>
      <c r="R1" s="3"/>
      <c r="S1" s="3"/>
      <c r="T1" s="3"/>
      <c r="U1" s="3"/>
      <c r="V1" s="3"/>
      <c r="W1" s="3"/>
      <c r="X1" s="3"/>
    </row>
    <row r="2" spans="1:29" x14ac:dyDescent="0.3">
      <c r="A2" s="8">
        <v>46143</v>
      </c>
      <c r="B2" s="5">
        <v>46143</v>
      </c>
      <c r="C2" s="5">
        <v>46157</v>
      </c>
      <c r="D2" s="6">
        <v>1</v>
      </c>
      <c r="E2" t="s">
        <v>6</v>
      </c>
      <c r="F2" s="2" t="s">
        <v>42</v>
      </c>
      <c r="G2" s="2" t="s">
        <v>50</v>
      </c>
      <c r="H2">
        <v>2400</v>
      </c>
      <c r="N2">
        <v>940</v>
      </c>
      <c r="Q2">
        <v>5400</v>
      </c>
      <c r="AC2">
        <f>SUM(Evento_Real[[#This Row],[10deMay]:[Clima]])</f>
        <v>8740</v>
      </c>
    </row>
    <row r="3" spans="1:29" hidden="1" x14ac:dyDescent="0.3">
      <c r="A3" s="8">
        <v>46144</v>
      </c>
      <c r="B3" s="5">
        <v>46143</v>
      </c>
      <c r="C3" s="5">
        <v>46157</v>
      </c>
      <c r="D3" s="6">
        <v>0</v>
      </c>
      <c r="E3" t="s">
        <v>6</v>
      </c>
      <c r="F3" s="2" t="s">
        <v>42</v>
      </c>
      <c r="G3" s="2" t="s">
        <v>50</v>
      </c>
      <c r="AC3">
        <f>SUM(Evento_Real[[#This Row],[10deMay]:[Clima]])</f>
        <v>0</v>
      </c>
    </row>
    <row r="4" spans="1:29" hidden="1" x14ac:dyDescent="0.3">
      <c r="A4" s="8">
        <v>46145</v>
      </c>
      <c r="B4" s="5">
        <v>46143</v>
      </c>
      <c r="C4" s="5">
        <v>46157</v>
      </c>
      <c r="D4" s="6">
        <v>0</v>
      </c>
      <c r="E4" t="s">
        <v>6</v>
      </c>
      <c r="F4" s="2" t="s">
        <v>42</v>
      </c>
      <c r="G4" s="2" t="s">
        <v>50</v>
      </c>
      <c r="AC4">
        <f>SUM(Evento_Real[[#This Row],[10deMay]:[Clima]])</f>
        <v>0</v>
      </c>
    </row>
    <row r="5" spans="1:29" hidden="1" x14ac:dyDescent="0.3">
      <c r="A5" s="8">
        <v>46146</v>
      </c>
      <c r="B5" s="5">
        <v>46143</v>
      </c>
      <c r="C5" s="5">
        <v>46157</v>
      </c>
      <c r="D5" s="6">
        <v>0</v>
      </c>
      <c r="E5" t="s">
        <v>6</v>
      </c>
      <c r="F5" s="2" t="s">
        <v>42</v>
      </c>
      <c r="G5" s="2" t="s">
        <v>50</v>
      </c>
      <c r="AC5">
        <f>SUM(Evento_Real[[#This Row],[10deMay]:[Clima]])</f>
        <v>0</v>
      </c>
    </row>
    <row r="6" spans="1:29" hidden="1" x14ac:dyDescent="0.3">
      <c r="A6" s="8">
        <v>46147</v>
      </c>
      <c r="B6" s="5">
        <v>46143</v>
      </c>
      <c r="C6" s="5">
        <v>46157</v>
      </c>
      <c r="D6" s="6">
        <v>0</v>
      </c>
      <c r="E6" t="s">
        <v>6</v>
      </c>
      <c r="F6" s="2" t="s">
        <v>42</v>
      </c>
      <c r="G6" s="2" t="s">
        <v>50</v>
      </c>
      <c r="AC6">
        <f>SUM(Evento_Real[[#This Row],[10deMay]:[Clima]])</f>
        <v>0</v>
      </c>
    </row>
    <row r="7" spans="1:29" hidden="1" x14ac:dyDescent="0.3">
      <c r="A7" s="8">
        <v>46148</v>
      </c>
      <c r="B7" s="5">
        <v>46143</v>
      </c>
      <c r="C7" s="5">
        <v>46157</v>
      </c>
      <c r="D7" s="6">
        <v>0</v>
      </c>
      <c r="E7" t="s">
        <v>6</v>
      </c>
      <c r="F7" s="2" t="s">
        <v>42</v>
      </c>
      <c r="G7" s="2" t="s">
        <v>50</v>
      </c>
      <c r="AC7">
        <f>SUM(Evento_Real[[#This Row],[10deMay]:[Clima]])</f>
        <v>0</v>
      </c>
    </row>
    <row r="8" spans="1:29" hidden="1" x14ac:dyDescent="0.3">
      <c r="A8" s="8">
        <v>46149</v>
      </c>
      <c r="B8" s="5">
        <v>46143</v>
      </c>
      <c r="C8" s="5">
        <v>46157</v>
      </c>
      <c r="D8" s="6">
        <v>0</v>
      </c>
      <c r="E8" t="s">
        <v>6</v>
      </c>
      <c r="F8" s="2" t="s">
        <v>42</v>
      </c>
      <c r="G8" s="2" t="s">
        <v>50</v>
      </c>
      <c r="AC8">
        <f>SUM(Evento_Real[[#This Row],[10deMay]:[Clima]])</f>
        <v>0</v>
      </c>
    </row>
    <row r="9" spans="1:29" hidden="1" x14ac:dyDescent="0.3">
      <c r="A9" s="8">
        <v>46150</v>
      </c>
      <c r="B9" s="5">
        <v>46143</v>
      </c>
      <c r="C9" s="5">
        <v>46157</v>
      </c>
      <c r="D9" s="6">
        <v>0</v>
      </c>
      <c r="E9" t="s">
        <v>6</v>
      </c>
      <c r="F9" s="2" t="s">
        <v>42</v>
      </c>
      <c r="G9" s="2" t="s">
        <v>50</v>
      </c>
      <c r="AC9">
        <f>SUM(Evento_Real[[#This Row],[10deMay]:[Clima]])</f>
        <v>0</v>
      </c>
    </row>
    <row r="10" spans="1:29" hidden="1" x14ac:dyDescent="0.3">
      <c r="A10" s="8">
        <v>46151</v>
      </c>
      <c r="B10" s="5">
        <v>46143</v>
      </c>
      <c r="C10" s="5">
        <v>46157</v>
      </c>
      <c r="D10" s="6">
        <v>0</v>
      </c>
      <c r="E10" t="s">
        <v>6</v>
      </c>
      <c r="F10" s="2" t="s">
        <v>42</v>
      </c>
      <c r="G10" s="2" t="s">
        <v>50</v>
      </c>
      <c r="AC10">
        <f>SUM(Evento_Real[[#This Row],[10deMay]:[Clima]])</f>
        <v>0</v>
      </c>
    </row>
    <row r="11" spans="1:29" hidden="1" x14ac:dyDescent="0.3">
      <c r="A11" s="8">
        <v>46152</v>
      </c>
      <c r="B11" s="5">
        <v>46143</v>
      </c>
      <c r="C11" s="5">
        <v>46157</v>
      </c>
      <c r="D11" s="6">
        <v>0</v>
      </c>
      <c r="E11" t="s">
        <v>6</v>
      </c>
      <c r="F11" s="2" t="s">
        <v>42</v>
      </c>
      <c r="G11" s="2" t="s">
        <v>50</v>
      </c>
      <c r="AC11">
        <f>SUM(Evento_Real[[#This Row],[10deMay]:[Clima]])</f>
        <v>0</v>
      </c>
    </row>
    <row r="12" spans="1:29" hidden="1" x14ac:dyDescent="0.3">
      <c r="A12" s="8">
        <v>46153</v>
      </c>
      <c r="B12" s="5">
        <v>46143</v>
      </c>
      <c r="C12" s="5">
        <v>46157</v>
      </c>
      <c r="D12" s="6">
        <v>0</v>
      </c>
      <c r="E12" t="s">
        <v>6</v>
      </c>
      <c r="F12" s="2" t="s">
        <v>42</v>
      </c>
      <c r="G12" s="2" t="s">
        <v>50</v>
      </c>
      <c r="AC12">
        <f>SUM(Evento_Real[[#This Row],[10deMay]:[Clima]])</f>
        <v>0</v>
      </c>
    </row>
    <row r="13" spans="1:29" hidden="1" x14ac:dyDescent="0.3">
      <c r="A13" s="8">
        <v>46154</v>
      </c>
      <c r="B13" s="5">
        <v>46143</v>
      </c>
      <c r="C13" s="5">
        <v>46157</v>
      </c>
      <c r="D13" s="6">
        <v>0</v>
      </c>
      <c r="E13" t="s">
        <v>6</v>
      </c>
      <c r="F13" s="2" t="s">
        <v>42</v>
      </c>
      <c r="G13" s="2" t="s">
        <v>50</v>
      </c>
      <c r="AC13">
        <f>SUM(Evento_Real[[#This Row],[10deMay]:[Clima]])</f>
        <v>0</v>
      </c>
    </row>
    <row r="14" spans="1:29" hidden="1" x14ac:dyDescent="0.3">
      <c r="A14" s="8">
        <v>46155</v>
      </c>
      <c r="B14" s="5">
        <v>46143</v>
      </c>
      <c r="C14" s="5">
        <v>46157</v>
      </c>
      <c r="D14" s="6">
        <v>0</v>
      </c>
      <c r="E14" t="s">
        <v>6</v>
      </c>
      <c r="F14" s="2" t="s">
        <v>42</v>
      </c>
      <c r="G14" s="2" t="s">
        <v>50</v>
      </c>
      <c r="AC14">
        <f>SUM(Evento_Real[[#This Row],[10deMay]:[Clima]])</f>
        <v>0</v>
      </c>
    </row>
    <row r="15" spans="1:29" hidden="1" x14ac:dyDescent="0.3">
      <c r="A15" s="8">
        <v>46156</v>
      </c>
      <c r="B15" s="5">
        <v>46143</v>
      </c>
      <c r="C15" s="5">
        <v>46157</v>
      </c>
      <c r="D15" s="6">
        <v>0</v>
      </c>
      <c r="E15" t="s">
        <v>6</v>
      </c>
      <c r="F15" s="2" t="s">
        <v>42</v>
      </c>
      <c r="G15" s="2" t="s">
        <v>50</v>
      </c>
      <c r="AC15">
        <f>SUM(Evento_Real[[#This Row],[10deMay]:[Clima]])</f>
        <v>0</v>
      </c>
    </row>
    <row r="16" spans="1:29" hidden="1" x14ac:dyDescent="0.3">
      <c r="A16" s="8">
        <v>46157</v>
      </c>
      <c r="B16" s="5">
        <v>46143</v>
      </c>
      <c r="C16" s="5">
        <v>46157</v>
      </c>
      <c r="D16" s="6">
        <v>0</v>
      </c>
      <c r="E16" t="s">
        <v>6</v>
      </c>
      <c r="F16" s="2" t="s">
        <v>42</v>
      </c>
      <c r="G16" s="2" t="s">
        <v>50</v>
      </c>
      <c r="AC16">
        <f>SUM(Evento_Real[[#This Row],[10deMay]:[Clima]])</f>
        <v>0</v>
      </c>
    </row>
    <row r="17" spans="1:29" x14ac:dyDescent="0.3">
      <c r="A17" s="8">
        <v>46158</v>
      </c>
      <c r="B17" s="5">
        <v>46158</v>
      </c>
      <c r="C17" s="5">
        <v>46173</v>
      </c>
      <c r="D17" s="6">
        <v>1</v>
      </c>
      <c r="E17" t="s">
        <v>7</v>
      </c>
      <c r="F17" s="2" t="s">
        <v>42</v>
      </c>
      <c r="G17" s="2" t="s">
        <v>50</v>
      </c>
      <c r="L17">
        <v>8000</v>
      </c>
      <c r="N17">
        <v>4250</v>
      </c>
      <c r="AC17">
        <f>SUM(Evento_Real[[#This Row],[10deMay]:[Clima]])</f>
        <v>12250</v>
      </c>
    </row>
    <row r="18" spans="1:29" hidden="1" x14ac:dyDescent="0.3">
      <c r="A18" s="8">
        <v>46159</v>
      </c>
      <c r="B18" s="5">
        <v>46158</v>
      </c>
      <c r="C18" s="5">
        <v>46173</v>
      </c>
      <c r="D18" s="6">
        <v>0</v>
      </c>
      <c r="E18" t="s">
        <v>7</v>
      </c>
      <c r="F18" s="2" t="s">
        <v>42</v>
      </c>
      <c r="G18" s="2" t="s">
        <v>50</v>
      </c>
      <c r="AC18">
        <f>SUM(Evento_Real[[#This Row],[10deMay]:[Clima]])</f>
        <v>0</v>
      </c>
    </row>
    <row r="19" spans="1:29" hidden="1" x14ac:dyDescent="0.3">
      <c r="A19" s="8">
        <v>46160</v>
      </c>
      <c r="B19" s="5">
        <v>46158</v>
      </c>
      <c r="C19" s="5">
        <v>46173</v>
      </c>
      <c r="D19" s="6">
        <v>0</v>
      </c>
      <c r="E19" t="s">
        <v>7</v>
      </c>
      <c r="F19" s="2" t="s">
        <v>42</v>
      </c>
      <c r="G19" s="2" t="s">
        <v>50</v>
      </c>
      <c r="AC19">
        <f>SUM(Evento_Real[[#This Row],[10deMay]:[Clima]])</f>
        <v>0</v>
      </c>
    </row>
    <row r="20" spans="1:29" hidden="1" x14ac:dyDescent="0.3">
      <c r="A20" s="8">
        <v>46161</v>
      </c>
      <c r="B20" s="5">
        <v>46158</v>
      </c>
      <c r="C20" s="5">
        <v>46173</v>
      </c>
      <c r="D20" s="6">
        <v>0</v>
      </c>
      <c r="E20" t="s">
        <v>7</v>
      </c>
      <c r="F20" s="2" t="s">
        <v>42</v>
      </c>
      <c r="G20" s="2" t="s">
        <v>50</v>
      </c>
      <c r="AC20">
        <f>SUM(Evento_Real[[#This Row],[10deMay]:[Clima]])</f>
        <v>0</v>
      </c>
    </row>
    <row r="21" spans="1:29" hidden="1" x14ac:dyDescent="0.3">
      <c r="A21" s="8">
        <v>46162</v>
      </c>
      <c r="B21" s="5">
        <v>46158</v>
      </c>
      <c r="C21" s="5">
        <v>46173</v>
      </c>
      <c r="D21" s="6">
        <v>0</v>
      </c>
      <c r="E21" t="s">
        <v>7</v>
      </c>
      <c r="F21" s="2" t="s">
        <v>42</v>
      </c>
      <c r="G21" s="2" t="s">
        <v>50</v>
      </c>
      <c r="AC21">
        <f>SUM(Evento_Real[[#This Row],[10deMay]:[Clima]])</f>
        <v>0</v>
      </c>
    </row>
    <row r="22" spans="1:29" hidden="1" x14ac:dyDescent="0.3">
      <c r="A22" s="8">
        <v>46163</v>
      </c>
      <c r="B22" s="5">
        <v>46158</v>
      </c>
      <c r="C22" s="5">
        <v>46173</v>
      </c>
      <c r="D22" s="6">
        <v>0</v>
      </c>
      <c r="E22" t="s">
        <v>7</v>
      </c>
      <c r="F22" s="2" t="s">
        <v>42</v>
      </c>
      <c r="G22" s="2" t="s">
        <v>50</v>
      </c>
      <c r="AC22">
        <f>SUM(Evento_Real[[#This Row],[10deMay]:[Clima]])</f>
        <v>0</v>
      </c>
    </row>
    <row r="23" spans="1:29" hidden="1" x14ac:dyDescent="0.3">
      <c r="A23" s="8">
        <v>46164</v>
      </c>
      <c r="B23" s="5">
        <v>46158</v>
      </c>
      <c r="C23" s="5">
        <v>46173</v>
      </c>
      <c r="D23" s="6">
        <v>0</v>
      </c>
      <c r="E23" t="s">
        <v>7</v>
      </c>
      <c r="F23" s="2" t="s">
        <v>42</v>
      </c>
      <c r="G23" s="2" t="s">
        <v>50</v>
      </c>
      <c r="AC23">
        <f>SUM(Evento_Real[[#This Row],[10deMay]:[Clima]])</f>
        <v>0</v>
      </c>
    </row>
    <row r="24" spans="1:29" hidden="1" x14ac:dyDescent="0.3">
      <c r="A24" s="8">
        <v>46165</v>
      </c>
      <c r="B24" s="5">
        <v>46158</v>
      </c>
      <c r="C24" s="5">
        <v>46173</v>
      </c>
      <c r="D24" s="6">
        <v>0</v>
      </c>
      <c r="E24" t="s">
        <v>7</v>
      </c>
      <c r="F24" s="2" t="s">
        <v>42</v>
      </c>
      <c r="G24" s="2" t="s">
        <v>50</v>
      </c>
      <c r="AC24">
        <f>SUM(Evento_Real[[#This Row],[10deMay]:[Clima]])</f>
        <v>0</v>
      </c>
    </row>
    <row r="25" spans="1:29" hidden="1" x14ac:dyDescent="0.3">
      <c r="A25" s="8">
        <v>46166</v>
      </c>
      <c r="B25" s="5">
        <v>46158</v>
      </c>
      <c r="C25" s="5">
        <v>46173</v>
      </c>
      <c r="D25" s="6">
        <v>0</v>
      </c>
      <c r="E25" t="s">
        <v>7</v>
      </c>
      <c r="F25" s="2" t="s">
        <v>42</v>
      </c>
      <c r="G25" s="2" t="s">
        <v>50</v>
      </c>
      <c r="AC25">
        <f>SUM(Evento_Real[[#This Row],[10deMay]:[Clima]])</f>
        <v>0</v>
      </c>
    </row>
    <row r="26" spans="1:29" hidden="1" x14ac:dyDescent="0.3">
      <c r="A26" s="8">
        <v>46167</v>
      </c>
      <c r="B26" s="5">
        <v>46158</v>
      </c>
      <c r="C26" s="5">
        <v>46173</v>
      </c>
      <c r="D26" s="6">
        <v>0</v>
      </c>
      <c r="E26" t="s">
        <v>7</v>
      </c>
      <c r="F26" s="2" t="s">
        <v>42</v>
      </c>
      <c r="G26" s="2" t="s">
        <v>50</v>
      </c>
      <c r="AC26">
        <f>SUM(Evento_Real[[#This Row],[10deMay]:[Clima]])</f>
        <v>0</v>
      </c>
    </row>
    <row r="27" spans="1:29" hidden="1" x14ac:dyDescent="0.3">
      <c r="A27" s="8">
        <v>46168</v>
      </c>
      <c r="B27" s="5">
        <v>46158</v>
      </c>
      <c r="C27" s="5">
        <v>46173</v>
      </c>
      <c r="D27" s="6">
        <v>0</v>
      </c>
      <c r="E27" t="s">
        <v>7</v>
      </c>
      <c r="F27" s="2" t="s">
        <v>42</v>
      </c>
      <c r="G27" s="2" t="s">
        <v>50</v>
      </c>
      <c r="AC27">
        <f>SUM(Evento_Real[[#This Row],[10deMay]:[Clima]])</f>
        <v>0</v>
      </c>
    </row>
    <row r="28" spans="1:29" hidden="1" x14ac:dyDescent="0.3">
      <c r="A28" s="8">
        <v>46169</v>
      </c>
      <c r="B28" s="5">
        <v>46158</v>
      </c>
      <c r="C28" s="5">
        <v>46173</v>
      </c>
      <c r="D28" s="6">
        <v>0</v>
      </c>
      <c r="E28" t="s">
        <v>7</v>
      </c>
      <c r="F28" s="2" t="s">
        <v>42</v>
      </c>
      <c r="G28" s="2" t="s">
        <v>50</v>
      </c>
      <c r="AC28">
        <f>SUM(Evento_Real[[#This Row],[10deMay]:[Clima]])</f>
        <v>0</v>
      </c>
    </row>
    <row r="29" spans="1:29" hidden="1" x14ac:dyDescent="0.3">
      <c r="A29" s="8">
        <v>46170</v>
      </c>
      <c r="B29" s="5">
        <v>46158</v>
      </c>
      <c r="C29" s="5">
        <v>46173</v>
      </c>
      <c r="D29" s="6">
        <v>0</v>
      </c>
      <c r="E29" t="s">
        <v>7</v>
      </c>
      <c r="F29" s="2" t="s">
        <v>42</v>
      </c>
      <c r="G29" s="2" t="s">
        <v>50</v>
      </c>
      <c r="AC29">
        <f>SUM(Evento_Real[[#This Row],[10deMay]:[Clima]])</f>
        <v>0</v>
      </c>
    </row>
    <row r="30" spans="1:29" hidden="1" x14ac:dyDescent="0.3">
      <c r="A30" s="8">
        <v>46171</v>
      </c>
      <c r="B30" s="5">
        <v>46158</v>
      </c>
      <c r="C30" s="5">
        <v>46173</v>
      </c>
      <c r="D30" s="6">
        <v>0</v>
      </c>
      <c r="E30" t="s">
        <v>7</v>
      </c>
      <c r="F30" s="2" t="s">
        <v>42</v>
      </c>
      <c r="G30" s="2" t="s">
        <v>50</v>
      </c>
      <c r="AC30">
        <f>SUM(Evento_Real[[#This Row],[10deMay]:[Clima]])</f>
        <v>0</v>
      </c>
    </row>
    <row r="31" spans="1:29" hidden="1" x14ac:dyDescent="0.3">
      <c r="A31" s="8">
        <v>46172</v>
      </c>
      <c r="B31" s="5">
        <v>46158</v>
      </c>
      <c r="C31" s="5">
        <v>46173</v>
      </c>
      <c r="D31" s="6">
        <v>0</v>
      </c>
      <c r="E31" t="s">
        <v>7</v>
      </c>
      <c r="F31" s="2" t="s">
        <v>42</v>
      </c>
      <c r="G31" s="2" t="s">
        <v>50</v>
      </c>
      <c r="AC31">
        <f>SUM(Evento_Real[[#This Row],[10deMay]:[Clima]])</f>
        <v>0</v>
      </c>
    </row>
    <row r="32" spans="1:29" hidden="1" x14ac:dyDescent="0.3">
      <c r="A32" s="8">
        <v>46173</v>
      </c>
      <c r="B32" s="5">
        <v>46158</v>
      </c>
      <c r="C32" s="5">
        <v>46173</v>
      </c>
      <c r="D32" s="6">
        <v>0</v>
      </c>
      <c r="E32" t="s">
        <v>7</v>
      </c>
      <c r="F32" s="2" t="s">
        <v>42</v>
      </c>
      <c r="G32" s="2" t="s">
        <v>50</v>
      </c>
      <c r="AC32">
        <f>SUM(Evento_Real[[#This Row],[10deMay]:[Clima]])</f>
        <v>0</v>
      </c>
    </row>
    <row r="33" spans="1:29" x14ac:dyDescent="0.3">
      <c r="A33" s="8">
        <v>46174</v>
      </c>
      <c r="B33" s="5">
        <v>46174</v>
      </c>
      <c r="C33" s="5">
        <v>46188</v>
      </c>
      <c r="D33" s="6">
        <v>1</v>
      </c>
      <c r="E33" t="s">
        <v>8</v>
      </c>
      <c r="F33" s="2" t="s">
        <v>42</v>
      </c>
      <c r="G33" s="2" t="s">
        <v>50</v>
      </c>
      <c r="K33">
        <v>3000</v>
      </c>
      <c r="N33">
        <v>3750</v>
      </c>
      <c r="Q33">
        <v>2800</v>
      </c>
      <c r="AC33">
        <f>SUM(Evento_Real[[#This Row],[10deMay]:[Clima]])</f>
        <v>9550</v>
      </c>
    </row>
    <row r="34" spans="1:29" hidden="1" x14ac:dyDescent="0.3">
      <c r="A34" s="8">
        <v>46175</v>
      </c>
      <c r="B34" s="5">
        <v>46174</v>
      </c>
      <c r="C34" s="5">
        <v>46188</v>
      </c>
      <c r="D34" s="6">
        <v>0</v>
      </c>
      <c r="E34" t="s">
        <v>8</v>
      </c>
      <c r="F34" s="2" t="s">
        <v>42</v>
      </c>
      <c r="G34" s="2" t="s">
        <v>50</v>
      </c>
      <c r="AC34">
        <f>SUM(Evento_Real[[#This Row],[10deMay]:[Clima]])</f>
        <v>0</v>
      </c>
    </row>
    <row r="35" spans="1:29" hidden="1" x14ac:dyDescent="0.3">
      <c r="A35" s="8">
        <v>46176</v>
      </c>
      <c r="B35" s="5">
        <v>46174</v>
      </c>
      <c r="C35" s="5">
        <v>46188</v>
      </c>
      <c r="D35" s="6">
        <v>0</v>
      </c>
      <c r="E35" t="s">
        <v>8</v>
      </c>
      <c r="F35" s="2" t="s">
        <v>42</v>
      </c>
      <c r="G35" s="2" t="s">
        <v>50</v>
      </c>
      <c r="AC35">
        <f>SUM(Evento_Real[[#This Row],[10deMay]:[Clima]])</f>
        <v>0</v>
      </c>
    </row>
    <row r="36" spans="1:29" hidden="1" x14ac:dyDescent="0.3">
      <c r="A36" s="8">
        <v>46177</v>
      </c>
      <c r="B36" s="5">
        <v>46174</v>
      </c>
      <c r="C36" s="5">
        <v>46188</v>
      </c>
      <c r="D36" s="6">
        <v>0</v>
      </c>
      <c r="E36" t="s">
        <v>8</v>
      </c>
      <c r="F36" s="2" t="s">
        <v>42</v>
      </c>
      <c r="G36" s="2" t="s">
        <v>50</v>
      </c>
      <c r="AC36">
        <f>SUM(Evento_Real[[#This Row],[10deMay]:[Clima]])</f>
        <v>0</v>
      </c>
    </row>
    <row r="37" spans="1:29" hidden="1" x14ac:dyDescent="0.3">
      <c r="A37" s="8">
        <v>46178</v>
      </c>
      <c r="B37" s="5">
        <v>46174</v>
      </c>
      <c r="C37" s="5">
        <v>46188</v>
      </c>
      <c r="D37" s="6">
        <v>0</v>
      </c>
      <c r="E37" t="s">
        <v>8</v>
      </c>
      <c r="F37" s="2" t="s">
        <v>42</v>
      </c>
      <c r="G37" s="2" t="s">
        <v>50</v>
      </c>
      <c r="AC37">
        <f>SUM(Evento_Real[[#This Row],[10deMay]:[Clima]])</f>
        <v>0</v>
      </c>
    </row>
    <row r="38" spans="1:29" hidden="1" x14ac:dyDescent="0.3">
      <c r="A38" s="8">
        <v>46179</v>
      </c>
      <c r="B38" s="5">
        <v>46174</v>
      </c>
      <c r="C38" s="5">
        <v>46188</v>
      </c>
      <c r="D38" s="6">
        <v>0</v>
      </c>
      <c r="E38" t="s">
        <v>8</v>
      </c>
      <c r="F38" s="2" t="s">
        <v>42</v>
      </c>
      <c r="G38" s="2" t="s">
        <v>50</v>
      </c>
      <c r="AC38">
        <f>SUM(Evento_Real[[#This Row],[10deMay]:[Clima]])</f>
        <v>0</v>
      </c>
    </row>
    <row r="39" spans="1:29" hidden="1" x14ac:dyDescent="0.3">
      <c r="A39" s="8">
        <v>46180</v>
      </c>
      <c r="B39" s="5">
        <v>46174</v>
      </c>
      <c r="C39" s="5">
        <v>46188</v>
      </c>
      <c r="D39" s="6">
        <v>0</v>
      </c>
      <c r="E39" t="s">
        <v>8</v>
      </c>
      <c r="F39" s="2" t="s">
        <v>42</v>
      </c>
      <c r="G39" s="2" t="s">
        <v>50</v>
      </c>
      <c r="AC39">
        <f>SUM(Evento_Real[[#This Row],[10deMay]:[Clima]])</f>
        <v>0</v>
      </c>
    </row>
    <row r="40" spans="1:29" hidden="1" x14ac:dyDescent="0.3">
      <c r="A40" s="8">
        <v>46181</v>
      </c>
      <c r="B40" s="5">
        <v>46174</v>
      </c>
      <c r="C40" s="5">
        <v>46188</v>
      </c>
      <c r="D40" s="6">
        <v>0</v>
      </c>
      <c r="E40" t="s">
        <v>8</v>
      </c>
      <c r="F40" s="2" t="s">
        <v>42</v>
      </c>
      <c r="G40" s="2" t="s">
        <v>50</v>
      </c>
      <c r="AC40">
        <f>SUM(Evento_Real[[#This Row],[10deMay]:[Clima]])</f>
        <v>0</v>
      </c>
    </row>
    <row r="41" spans="1:29" hidden="1" x14ac:dyDescent="0.3">
      <c r="A41" s="8">
        <v>46182</v>
      </c>
      <c r="B41" s="5">
        <v>46174</v>
      </c>
      <c r="C41" s="5">
        <v>46188</v>
      </c>
      <c r="D41" s="6">
        <v>0</v>
      </c>
      <c r="E41" t="s">
        <v>8</v>
      </c>
      <c r="F41" s="2" t="s">
        <v>42</v>
      </c>
      <c r="G41" s="2" t="s">
        <v>50</v>
      </c>
      <c r="AC41">
        <f>SUM(Evento_Real[[#This Row],[10deMay]:[Clima]])</f>
        <v>0</v>
      </c>
    </row>
    <row r="42" spans="1:29" hidden="1" x14ac:dyDescent="0.3">
      <c r="A42" s="8">
        <v>46183</v>
      </c>
      <c r="B42" s="5">
        <v>46174</v>
      </c>
      <c r="C42" s="5">
        <v>46188</v>
      </c>
      <c r="D42" s="6">
        <v>0</v>
      </c>
      <c r="E42" t="s">
        <v>8</v>
      </c>
      <c r="F42" s="2" t="s">
        <v>42</v>
      </c>
      <c r="G42" s="2" t="s">
        <v>50</v>
      </c>
      <c r="AC42">
        <f>SUM(Evento_Real[[#This Row],[10deMay]:[Clima]])</f>
        <v>0</v>
      </c>
    </row>
    <row r="43" spans="1:29" hidden="1" x14ac:dyDescent="0.3">
      <c r="A43" s="8">
        <v>46184</v>
      </c>
      <c r="B43" s="5">
        <v>46174</v>
      </c>
      <c r="C43" s="5">
        <v>46188</v>
      </c>
      <c r="D43" s="6">
        <v>0</v>
      </c>
      <c r="E43" t="s">
        <v>8</v>
      </c>
      <c r="F43" s="2" t="s">
        <v>42</v>
      </c>
      <c r="G43" s="2" t="s">
        <v>50</v>
      </c>
      <c r="AC43">
        <f>SUM(Evento_Real[[#This Row],[10deMay]:[Clima]])</f>
        <v>0</v>
      </c>
    </row>
    <row r="44" spans="1:29" hidden="1" x14ac:dyDescent="0.3">
      <c r="A44" s="8">
        <v>46185</v>
      </c>
      <c r="B44" s="5">
        <v>46174</v>
      </c>
      <c r="C44" s="5">
        <v>46188</v>
      </c>
      <c r="D44" s="6">
        <v>0</v>
      </c>
      <c r="E44" t="s">
        <v>8</v>
      </c>
      <c r="F44" s="2" t="s">
        <v>42</v>
      </c>
      <c r="G44" s="2" t="s">
        <v>50</v>
      </c>
      <c r="AC44">
        <f>SUM(Evento_Real[[#This Row],[10deMay]:[Clima]])</f>
        <v>0</v>
      </c>
    </row>
    <row r="45" spans="1:29" hidden="1" x14ac:dyDescent="0.3">
      <c r="A45" s="8">
        <v>46186</v>
      </c>
      <c r="B45" s="5">
        <v>46174</v>
      </c>
      <c r="C45" s="5">
        <v>46188</v>
      </c>
      <c r="D45" s="6">
        <v>0</v>
      </c>
      <c r="E45" t="s">
        <v>8</v>
      </c>
      <c r="F45" s="2" t="s">
        <v>42</v>
      </c>
      <c r="G45" s="2" t="s">
        <v>50</v>
      </c>
      <c r="AC45">
        <f>SUM(Evento_Real[[#This Row],[10deMay]:[Clima]])</f>
        <v>0</v>
      </c>
    </row>
    <row r="46" spans="1:29" hidden="1" x14ac:dyDescent="0.3">
      <c r="A46" s="8">
        <v>46187</v>
      </c>
      <c r="B46" s="5">
        <v>46174</v>
      </c>
      <c r="C46" s="5">
        <v>46188</v>
      </c>
      <c r="D46" s="6">
        <v>0</v>
      </c>
      <c r="E46" t="s">
        <v>8</v>
      </c>
      <c r="F46" s="2" t="s">
        <v>42</v>
      </c>
      <c r="G46" s="2" t="s">
        <v>50</v>
      </c>
      <c r="AC46">
        <f>SUM(Evento_Real[[#This Row],[10deMay]:[Clima]])</f>
        <v>0</v>
      </c>
    </row>
    <row r="47" spans="1:29" hidden="1" x14ac:dyDescent="0.3">
      <c r="A47" s="8">
        <v>46188</v>
      </c>
      <c r="B47" s="5">
        <v>46174</v>
      </c>
      <c r="C47" s="5">
        <v>46188</v>
      </c>
      <c r="D47" s="6">
        <v>0</v>
      </c>
      <c r="E47" t="s">
        <v>8</v>
      </c>
      <c r="F47" s="2" t="s">
        <v>42</v>
      </c>
      <c r="G47" s="2" t="s">
        <v>50</v>
      </c>
      <c r="AC47">
        <f>SUM(Evento_Real[[#This Row],[10deMay]:[Clima]])</f>
        <v>0</v>
      </c>
    </row>
    <row r="48" spans="1:29" x14ac:dyDescent="0.3">
      <c r="A48" s="8">
        <v>46189</v>
      </c>
      <c r="B48" s="5">
        <v>46189</v>
      </c>
      <c r="C48" s="5">
        <v>46203</v>
      </c>
      <c r="D48" s="6">
        <v>1</v>
      </c>
      <c r="E48" t="s">
        <v>9</v>
      </c>
      <c r="F48" s="2" t="s">
        <v>42</v>
      </c>
      <c r="G48" s="2" t="s">
        <v>50</v>
      </c>
      <c r="K48">
        <v>5000</v>
      </c>
      <c r="N48">
        <v>3750</v>
      </c>
      <c r="AC48">
        <f>SUM(Evento_Real[[#This Row],[10deMay]:[Clima]])</f>
        <v>8750</v>
      </c>
    </row>
    <row r="49" spans="1:29" hidden="1" x14ac:dyDescent="0.3">
      <c r="A49" s="8">
        <v>46190</v>
      </c>
      <c r="B49" s="5">
        <v>46189</v>
      </c>
      <c r="C49" s="5">
        <v>46203</v>
      </c>
      <c r="D49" s="6">
        <v>0</v>
      </c>
      <c r="E49" t="s">
        <v>9</v>
      </c>
      <c r="F49" s="2" t="s">
        <v>42</v>
      </c>
      <c r="G49" s="2" t="s">
        <v>50</v>
      </c>
      <c r="AC49">
        <f>SUM(Evento_Real[[#This Row],[10deMay]:[Clima]])</f>
        <v>0</v>
      </c>
    </row>
    <row r="50" spans="1:29" hidden="1" x14ac:dyDescent="0.3">
      <c r="A50" s="8">
        <v>46191</v>
      </c>
      <c r="B50" s="5">
        <v>46189</v>
      </c>
      <c r="C50" s="5">
        <v>46203</v>
      </c>
      <c r="D50" s="6">
        <v>0</v>
      </c>
      <c r="E50" t="s">
        <v>9</v>
      </c>
      <c r="F50" s="2" t="s">
        <v>42</v>
      </c>
      <c r="G50" s="2" t="s">
        <v>50</v>
      </c>
      <c r="AC50">
        <f>SUM(Evento_Real[[#This Row],[10deMay]:[Clima]])</f>
        <v>0</v>
      </c>
    </row>
    <row r="51" spans="1:29" hidden="1" x14ac:dyDescent="0.3">
      <c r="A51" s="8">
        <v>46192</v>
      </c>
      <c r="B51" s="5">
        <v>46189</v>
      </c>
      <c r="C51" s="5">
        <v>46203</v>
      </c>
      <c r="D51" s="6">
        <v>0</v>
      </c>
      <c r="E51" t="s">
        <v>9</v>
      </c>
      <c r="F51" s="2" t="s">
        <v>42</v>
      </c>
      <c r="G51" s="2" t="s">
        <v>50</v>
      </c>
      <c r="AC51">
        <f>SUM(Evento_Real[[#This Row],[10deMay]:[Clima]])</f>
        <v>0</v>
      </c>
    </row>
    <row r="52" spans="1:29" hidden="1" x14ac:dyDescent="0.3">
      <c r="A52" s="8">
        <v>46193</v>
      </c>
      <c r="B52" s="5">
        <v>46189</v>
      </c>
      <c r="C52" s="5">
        <v>46203</v>
      </c>
      <c r="D52" s="6">
        <v>0</v>
      </c>
      <c r="E52" t="s">
        <v>9</v>
      </c>
      <c r="F52" s="2" t="s">
        <v>42</v>
      </c>
      <c r="G52" s="2" t="s">
        <v>50</v>
      </c>
      <c r="AC52">
        <f>SUM(Evento_Real[[#This Row],[10deMay]:[Clima]])</f>
        <v>0</v>
      </c>
    </row>
    <row r="53" spans="1:29" hidden="1" x14ac:dyDescent="0.3">
      <c r="A53" s="8">
        <v>46194</v>
      </c>
      <c r="B53" s="5">
        <v>46189</v>
      </c>
      <c r="C53" s="5">
        <v>46203</v>
      </c>
      <c r="D53" s="6">
        <v>0</v>
      </c>
      <c r="E53" t="s">
        <v>9</v>
      </c>
      <c r="F53" s="2" t="s">
        <v>42</v>
      </c>
      <c r="G53" s="2" t="s">
        <v>50</v>
      </c>
      <c r="AC53">
        <f>SUM(Evento_Real[[#This Row],[10deMay]:[Clima]])</f>
        <v>0</v>
      </c>
    </row>
    <row r="54" spans="1:29" hidden="1" x14ac:dyDescent="0.3">
      <c r="A54" s="8">
        <v>46195</v>
      </c>
      <c r="B54" s="5">
        <v>46189</v>
      </c>
      <c r="C54" s="5">
        <v>46203</v>
      </c>
      <c r="D54" s="6">
        <v>0</v>
      </c>
      <c r="E54" t="s">
        <v>9</v>
      </c>
      <c r="F54" s="2" t="s">
        <v>42</v>
      </c>
      <c r="G54" s="2" t="s">
        <v>50</v>
      </c>
      <c r="AC54">
        <f>SUM(Evento_Real[[#This Row],[10deMay]:[Clima]])</f>
        <v>0</v>
      </c>
    </row>
    <row r="55" spans="1:29" hidden="1" x14ac:dyDescent="0.3">
      <c r="A55" s="8">
        <v>46196</v>
      </c>
      <c r="B55" s="5">
        <v>46189</v>
      </c>
      <c r="C55" s="5">
        <v>46203</v>
      </c>
      <c r="D55" s="6">
        <v>0</v>
      </c>
      <c r="E55" t="s">
        <v>9</v>
      </c>
      <c r="F55" s="2" t="s">
        <v>42</v>
      </c>
      <c r="G55" s="2" t="s">
        <v>50</v>
      </c>
      <c r="AC55">
        <f>SUM(Evento_Real[[#This Row],[10deMay]:[Clima]])</f>
        <v>0</v>
      </c>
    </row>
    <row r="56" spans="1:29" hidden="1" x14ac:dyDescent="0.3">
      <c r="A56" s="8">
        <v>46197</v>
      </c>
      <c r="B56" s="5">
        <v>46189</v>
      </c>
      <c r="C56" s="5">
        <v>46203</v>
      </c>
      <c r="D56" s="6">
        <v>0</v>
      </c>
      <c r="E56" t="s">
        <v>9</v>
      </c>
      <c r="F56" s="2" t="s">
        <v>42</v>
      </c>
      <c r="G56" s="2" t="s">
        <v>50</v>
      </c>
      <c r="AC56">
        <f>SUM(Evento_Real[[#This Row],[10deMay]:[Clima]])</f>
        <v>0</v>
      </c>
    </row>
    <row r="57" spans="1:29" hidden="1" x14ac:dyDescent="0.3">
      <c r="A57" s="8">
        <v>46198</v>
      </c>
      <c r="B57" s="5">
        <v>46189</v>
      </c>
      <c r="C57" s="5">
        <v>46203</v>
      </c>
      <c r="D57" s="6">
        <v>0</v>
      </c>
      <c r="E57" t="s">
        <v>9</v>
      </c>
      <c r="F57" s="2" t="s">
        <v>42</v>
      </c>
      <c r="G57" s="2" t="s">
        <v>50</v>
      </c>
      <c r="AC57">
        <f>SUM(Evento_Real[[#This Row],[10deMay]:[Clima]])</f>
        <v>0</v>
      </c>
    </row>
    <row r="58" spans="1:29" hidden="1" x14ac:dyDescent="0.3">
      <c r="A58" s="8">
        <v>46199</v>
      </c>
      <c r="B58" s="5">
        <v>46189</v>
      </c>
      <c r="C58" s="5">
        <v>46203</v>
      </c>
      <c r="D58" s="6">
        <v>0</v>
      </c>
      <c r="E58" t="s">
        <v>9</v>
      </c>
      <c r="F58" s="2" t="s">
        <v>42</v>
      </c>
      <c r="G58" s="2" t="s">
        <v>50</v>
      </c>
      <c r="AC58">
        <f>SUM(Evento_Real[[#This Row],[10deMay]:[Clima]])</f>
        <v>0</v>
      </c>
    </row>
    <row r="59" spans="1:29" hidden="1" x14ac:dyDescent="0.3">
      <c r="A59" s="8">
        <v>46200</v>
      </c>
      <c r="B59" s="5">
        <v>46189</v>
      </c>
      <c r="C59" s="5">
        <v>46203</v>
      </c>
      <c r="D59" s="6">
        <v>0</v>
      </c>
      <c r="E59" t="s">
        <v>9</v>
      </c>
      <c r="F59" s="2" t="s">
        <v>42</v>
      </c>
      <c r="G59" s="2" t="s">
        <v>50</v>
      </c>
      <c r="AC59">
        <f>SUM(Evento_Real[[#This Row],[10deMay]:[Clima]])</f>
        <v>0</v>
      </c>
    </row>
    <row r="60" spans="1:29" hidden="1" x14ac:dyDescent="0.3">
      <c r="A60" s="8">
        <v>46201</v>
      </c>
      <c r="B60" s="5">
        <v>46189</v>
      </c>
      <c r="C60" s="5">
        <v>46203</v>
      </c>
      <c r="D60" s="6">
        <v>0</v>
      </c>
      <c r="E60" t="s">
        <v>9</v>
      </c>
      <c r="F60" s="2" t="s">
        <v>42</v>
      </c>
      <c r="G60" s="2" t="s">
        <v>50</v>
      </c>
      <c r="AC60">
        <f>SUM(Evento_Real[[#This Row],[10deMay]:[Clima]])</f>
        <v>0</v>
      </c>
    </row>
    <row r="61" spans="1:29" hidden="1" x14ac:dyDescent="0.3">
      <c r="A61" s="8">
        <v>46202</v>
      </c>
      <c r="B61" s="5">
        <v>46189</v>
      </c>
      <c r="C61" s="5">
        <v>46203</v>
      </c>
      <c r="D61" s="6">
        <v>0</v>
      </c>
      <c r="E61" t="s">
        <v>9</v>
      </c>
      <c r="F61" s="2" t="s">
        <v>42</v>
      </c>
      <c r="G61" s="2" t="s">
        <v>50</v>
      </c>
      <c r="AC61">
        <f>SUM(Evento_Real[[#This Row],[10deMay]:[Clima]])</f>
        <v>0</v>
      </c>
    </row>
    <row r="62" spans="1:29" hidden="1" x14ac:dyDescent="0.3">
      <c r="A62" s="8">
        <v>46203</v>
      </c>
      <c r="B62" s="5">
        <v>46189</v>
      </c>
      <c r="C62" s="5">
        <v>46203</v>
      </c>
      <c r="D62" s="6">
        <v>0</v>
      </c>
      <c r="E62" t="s">
        <v>9</v>
      </c>
      <c r="F62" s="2" t="s">
        <v>42</v>
      </c>
      <c r="G62" s="2" t="s">
        <v>50</v>
      </c>
      <c r="AC62">
        <f>SUM(Evento_Real[[#This Row],[10deMay]:[Clima]])</f>
        <v>0</v>
      </c>
    </row>
    <row r="63" spans="1:29" x14ac:dyDescent="0.3">
      <c r="A63" s="8">
        <v>46204</v>
      </c>
      <c r="B63" s="5">
        <v>46204</v>
      </c>
      <c r="C63" s="5">
        <v>46218</v>
      </c>
      <c r="D63" s="6">
        <v>1</v>
      </c>
      <c r="E63" t="s">
        <v>10</v>
      </c>
      <c r="F63" s="2" t="s">
        <v>42</v>
      </c>
      <c r="G63" s="2" t="s">
        <v>50</v>
      </c>
      <c r="K63">
        <v>5000</v>
      </c>
      <c r="AC63">
        <f>SUM(Evento_Real[[#This Row],[10deMay]:[Clima]])</f>
        <v>5000</v>
      </c>
    </row>
    <row r="64" spans="1:29" hidden="1" x14ac:dyDescent="0.3">
      <c r="A64" s="8">
        <v>46205</v>
      </c>
      <c r="B64" s="5">
        <v>46204</v>
      </c>
      <c r="C64" s="5">
        <v>46218</v>
      </c>
      <c r="D64" s="6">
        <v>0</v>
      </c>
      <c r="E64" t="s">
        <v>10</v>
      </c>
      <c r="F64" s="2" t="s">
        <v>42</v>
      </c>
      <c r="G64" s="2" t="s">
        <v>50</v>
      </c>
      <c r="AC64">
        <f>SUM(Evento_Real[[#This Row],[10deMay]:[Clima]])</f>
        <v>0</v>
      </c>
    </row>
    <row r="65" spans="1:29" hidden="1" x14ac:dyDescent="0.3">
      <c r="A65" s="8">
        <v>46206</v>
      </c>
      <c r="B65" s="5">
        <v>46204</v>
      </c>
      <c r="C65" s="5">
        <v>46218</v>
      </c>
      <c r="D65" s="6">
        <v>0</v>
      </c>
      <c r="E65" t="s">
        <v>10</v>
      </c>
      <c r="F65" s="2" t="s">
        <v>42</v>
      </c>
      <c r="G65" s="2" t="s">
        <v>50</v>
      </c>
      <c r="AC65">
        <f>SUM(Evento_Real[[#This Row],[10deMay]:[Clima]])</f>
        <v>0</v>
      </c>
    </row>
    <row r="66" spans="1:29" hidden="1" x14ac:dyDescent="0.3">
      <c r="A66" s="8">
        <v>46207</v>
      </c>
      <c r="B66" s="5">
        <v>46204</v>
      </c>
      <c r="C66" s="5">
        <v>46218</v>
      </c>
      <c r="D66" s="6">
        <v>0</v>
      </c>
      <c r="E66" t="s">
        <v>10</v>
      </c>
      <c r="F66" s="2" t="s">
        <v>42</v>
      </c>
      <c r="G66" s="2" t="s">
        <v>50</v>
      </c>
      <c r="AC66">
        <f>SUM(Evento_Real[[#This Row],[10deMay]:[Clima]])</f>
        <v>0</v>
      </c>
    </row>
    <row r="67" spans="1:29" hidden="1" x14ac:dyDescent="0.3">
      <c r="A67" s="8">
        <v>46208</v>
      </c>
      <c r="B67" s="5">
        <v>46204</v>
      </c>
      <c r="C67" s="5">
        <v>46218</v>
      </c>
      <c r="D67" s="6">
        <v>0</v>
      </c>
      <c r="E67" t="s">
        <v>10</v>
      </c>
      <c r="F67" s="2" t="s">
        <v>42</v>
      </c>
      <c r="G67" s="2" t="s">
        <v>50</v>
      </c>
      <c r="AC67">
        <f>SUM(Evento_Real[[#This Row],[10deMay]:[Clima]])</f>
        <v>0</v>
      </c>
    </row>
    <row r="68" spans="1:29" hidden="1" x14ac:dyDescent="0.3">
      <c r="A68" s="8">
        <v>46209</v>
      </c>
      <c r="B68" s="5">
        <v>46204</v>
      </c>
      <c r="C68" s="5">
        <v>46218</v>
      </c>
      <c r="D68" s="6">
        <v>0</v>
      </c>
      <c r="E68" t="s">
        <v>10</v>
      </c>
      <c r="F68" s="2" t="s">
        <v>42</v>
      </c>
      <c r="G68" s="2" t="s">
        <v>50</v>
      </c>
      <c r="AC68">
        <f>SUM(Evento_Real[[#This Row],[10deMay]:[Clima]])</f>
        <v>0</v>
      </c>
    </row>
    <row r="69" spans="1:29" hidden="1" x14ac:dyDescent="0.3">
      <c r="A69" s="8">
        <v>46210</v>
      </c>
      <c r="B69" s="5">
        <v>46204</v>
      </c>
      <c r="C69" s="5">
        <v>46218</v>
      </c>
      <c r="D69" s="6">
        <v>0</v>
      </c>
      <c r="E69" t="s">
        <v>10</v>
      </c>
      <c r="F69" s="2" t="s">
        <v>42</v>
      </c>
      <c r="G69" s="2" t="s">
        <v>50</v>
      </c>
      <c r="AC69">
        <f>SUM(Evento_Real[[#This Row],[10deMay]:[Clima]])</f>
        <v>0</v>
      </c>
    </row>
    <row r="70" spans="1:29" hidden="1" x14ac:dyDescent="0.3">
      <c r="A70" s="8">
        <v>46211</v>
      </c>
      <c r="B70" s="5">
        <v>46204</v>
      </c>
      <c r="C70" s="5">
        <v>46218</v>
      </c>
      <c r="D70" s="6">
        <v>0</v>
      </c>
      <c r="E70" t="s">
        <v>10</v>
      </c>
      <c r="F70" s="2" t="s">
        <v>42</v>
      </c>
      <c r="G70" s="2" t="s">
        <v>50</v>
      </c>
      <c r="AC70">
        <f>SUM(Evento_Real[[#This Row],[10deMay]:[Clima]])</f>
        <v>0</v>
      </c>
    </row>
    <row r="71" spans="1:29" hidden="1" x14ac:dyDescent="0.3">
      <c r="A71" s="8">
        <v>46212</v>
      </c>
      <c r="B71" s="5">
        <v>46204</v>
      </c>
      <c r="C71" s="5">
        <v>46218</v>
      </c>
      <c r="D71" s="6">
        <v>0</v>
      </c>
      <c r="E71" t="s">
        <v>10</v>
      </c>
      <c r="F71" s="2" t="s">
        <v>42</v>
      </c>
      <c r="G71" s="2" t="s">
        <v>50</v>
      </c>
      <c r="AC71">
        <f>SUM(Evento_Real[[#This Row],[10deMay]:[Clima]])</f>
        <v>0</v>
      </c>
    </row>
    <row r="72" spans="1:29" hidden="1" x14ac:dyDescent="0.3">
      <c r="A72" s="8">
        <v>46213</v>
      </c>
      <c r="B72" s="5">
        <v>46204</v>
      </c>
      <c r="C72" s="5">
        <v>46218</v>
      </c>
      <c r="D72" s="6">
        <v>0</v>
      </c>
      <c r="E72" t="s">
        <v>10</v>
      </c>
      <c r="F72" s="2" t="s">
        <v>42</v>
      </c>
      <c r="G72" s="2" t="s">
        <v>50</v>
      </c>
      <c r="AC72">
        <f>SUM(Evento_Real[[#This Row],[10deMay]:[Clima]])</f>
        <v>0</v>
      </c>
    </row>
    <row r="73" spans="1:29" hidden="1" x14ac:dyDescent="0.3">
      <c r="A73" s="8">
        <v>46214</v>
      </c>
      <c r="B73" s="5">
        <v>46204</v>
      </c>
      <c r="C73" s="5">
        <v>46218</v>
      </c>
      <c r="D73" s="6">
        <v>0</v>
      </c>
      <c r="E73" t="s">
        <v>10</v>
      </c>
      <c r="F73" s="2" t="s">
        <v>42</v>
      </c>
      <c r="G73" s="2" t="s">
        <v>50</v>
      </c>
      <c r="AC73">
        <f>SUM(Evento_Real[[#This Row],[10deMay]:[Clima]])</f>
        <v>0</v>
      </c>
    </row>
    <row r="74" spans="1:29" hidden="1" x14ac:dyDescent="0.3">
      <c r="A74" s="8">
        <v>46215</v>
      </c>
      <c r="B74" s="5">
        <v>46204</v>
      </c>
      <c r="C74" s="5">
        <v>46218</v>
      </c>
      <c r="D74" s="6">
        <v>0</v>
      </c>
      <c r="E74" t="s">
        <v>10</v>
      </c>
      <c r="F74" s="2" t="s">
        <v>42</v>
      </c>
      <c r="G74" s="2" t="s">
        <v>50</v>
      </c>
      <c r="AC74">
        <f>SUM(Evento_Real[[#This Row],[10deMay]:[Clima]])</f>
        <v>0</v>
      </c>
    </row>
    <row r="75" spans="1:29" hidden="1" x14ac:dyDescent="0.3">
      <c r="A75" s="8">
        <v>46216</v>
      </c>
      <c r="B75" s="5">
        <v>46204</v>
      </c>
      <c r="C75" s="5">
        <v>46218</v>
      </c>
      <c r="D75" s="6">
        <v>0</v>
      </c>
      <c r="E75" t="s">
        <v>10</v>
      </c>
      <c r="F75" s="2" t="s">
        <v>42</v>
      </c>
      <c r="G75" s="2" t="s">
        <v>50</v>
      </c>
      <c r="AC75">
        <f>SUM(Evento_Real[[#This Row],[10deMay]:[Clima]])</f>
        <v>0</v>
      </c>
    </row>
    <row r="76" spans="1:29" hidden="1" x14ac:dyDescent="0.3">
      <c r="A76" s="8">
        <v>46217</v>
      </c>
      <c r="B76" s="5">
        <v>46204</v>
      </c>
      <c r="C76" s="5">
        <v>46218</v>
      </c>
      <c r="D76" s="6">
        <v>0</v>
      </c>
      <c r="E76" t="s">
        <v>10</v>
      </c>
      <c r="F76" s="2" t="s">
        <v>42</v>
      </c>
      <c r="G76" s="2" t="s">
        <v>50</v>
      </c>
      <c r="AC76">
        <f>SUM(Evento_Real[[#This Row],[10deMay]:[Clima]])</f>
        <v>0</v>
      </c>
    </row>
    <row r="77" spans="1:29" hidden="1" x14ac:dyDescent="0.3">
      <c r="A77" s="8">
        <v>46218</v>
      </c>
      <c r="B77" s="5">
        <v>46204</v>
      </c>
      <c r="C77" s="5">
        <v>46218</v>
      </c>
      <c r="D77" s="6">
        <v>0</v>
      </c>
      <c r="E77" t="s">
        <v>10</v>
      </c>
      <c r="F77" s="2" t="s">
        <v>42</v>
      </c>
      <c r="G77" s="2" t="s">
        <v>50</v>
      </c>
      <c r="AC77">
        <f>SUM(Evento_Real[[#This Row],[10deMay]:[Clima]])</f>
        <v>0</v>
      </c>
    </row>
    <row r="78" spans="1:29" x14ac:dyDescent="0.3">
      <c r="A78" s="8">
        <v>46219</v>
      </c>
      <c r="B78" s="5">
        <v>46219</v>
      </c>
      <c r="C78" s="5">
        <v>46234</v>
      </c>
      <c r="D78" s="6">
        <v>1</v>
      </c>
      <c r="E78" t="s">
        <v>11</v>
      </c>
      <c r="F78" s="2" t="s">
        <v>42</v>
      </c>
      <c r="G78" s="2" t="s">
        <v>50</v>
      </c>
      <c r="K78">
        <v>5000</v>
      </c>
      <c r="AC78">
        <f>SUM(Evento_Real[[#This Row],[10deMay]:[Clima]])</f>
        <v>5000</v>
      </c>
    </row>
    <row r="79" spans="1:29" hidden="1" x14ac:dyDescent="0.3">
      <c r="A79" s="8">
        <v>46220</v>
      </c>
      <c r="B79" s="5">
        <v>46219</v>
      </c>
      <c r="C79" s="5">
        <v>46234</v>
      </c>
      <c r="D79" s="6">
        <v>0</v>
      </c>
      <c r="E79" t="s">
        <v>11</v>
      </c>
      <c r="F79" s="2" t="s">
        <v>42</v>
      </c>
      <c r="G79" s="2" t="s">
        <v>50</v>
      </c>
      <c r="AC79">
        <f>SUM(Evento_Real[[#This Row],[10deMay]:[Clima]])</f>
        <v>0</v>
      </c>
    </row>
    <row r="80" spans="1:29" hidden="1" x14ac:dyDescent="0.3">
      <c r="A80" s="8">
        <v>46221</v>
      </c>
      <c r="B80" s="5">
        <v>46219</v>
      </c>
      <c r="C80" s="5">
        <v>46234</v>
      </c>
      <c r="D80" s="6">
        <v>0</v>
      </c>
      <c r="E80" t="s">
        <v>11</v>
      </c>
      <c r="F80" s="2" t="s">
        <v>42</v>
      </c>
      <c r="G80" s="2" t="s">
        <v>50</v>
      </c>
      <c r="AC80">
        <f>SUM(Evento_Real[[#This Row],[10deMay]:[Clima]])</f>
        <v>0</v>
      </c>
    </row>
    <row r="81" spans="1:29" hidden="1" x14ac:dyDescent="0.3">
      <c r="A81" s="8">
        <v>46222</v>
      </c>
      <c r="B81" s="5">
        <v>46219</v>
      </c>
      <c r="C81" s="5">
        <v>46234</v>
      </c>
      <c r="D81" s="6">
        <v>0</v>
      </c>
      <c r="E81" t="s">
        <v>11</v>
      </c>
      <c r="F81" s="2" t="s">
        <v>42</v>
      </c>
      <c r="G81" s="2" t="s">
        <v>50</v>
      </c>
      <c r="AC81">
        <f>SUM(Evento_Real[[#This Row],[10deMay]:[Clima]])</f>
        <v>0</v>
      </c>
    </row>
    <row r="82" spans="1:29" hidden="1" x14ac:dyDescent="0.3">
      <c r="A82" s="8">
        <v>46223</v>
      </c>
      <c r="B82" s="5">
        <v>46219</v>
      </c>
      <c r="C82" s="5">
        <v>46234</v>
      </c>
      <c r="D82" s="6">
        <v>0</v>
      </c>
      <c r="E82" t="s">
        <v>11</v>
      </c>
      <c r="F82" s="2" t="s">
        <v>42</v>
      </c>
      <c r="G82" s="2" t="s">
        <v>50</v>
      </c>
      <c r="AC82">
        <f>SUM(Evento_Real[[#This Row],[10deMay]:[Clima]])</f>
        <v>0</v>
      </c>
    </row>
    <row r="83" spans="1:29" hidden="1" x14ac:dyDescent="0.3">
      <c r="A83" s="8">
        <v>46224</v>
      </c>
      <c r="B83" s="5">
        <v>46219</v>
      </c>
      <c r="C83" s="5">
        <v>46234</v>
      </c>
      <c r="D83" s="6">
        <v>0</v>
      </c>
      <c r="E83" t="s">
        <v>11</v>
      </c>
      <c r="F83" s="2" t="s">
        <v>42</v>
      </c>
      <c r="G83" s="2" t="s">
        <v>50</v>
      </c>
      <c r="AC83">
        <f>SUM(Evento_Real[[#This Row],[10deMay]:[Clima]])</f>
        <v>0</v>
      </c>
    </row>
    <row r="84" spans="1:29" hidden="1" x14ac:dyDescent="0.3">
      <c r="A84" s="8">
        <v>46225</v>
      </c>
      <c r="B84" s="5">
        <v>46219</v>
      </c>
      <c r="C84" s="5">
        <v>46234</v>
      </c>
      <c r="D84" s="6">
        <v>0</v>
      </c>
      <c r="E84" t="s">
        <v>11</v>
      </c>
      <c r="F84" s="2" t="s">
        <v>42</v>
      </c>
      <c r="G84" s="2" t="s">
        <v>50</v>
      </c>
      <c r="AC84">
        <f>SUM(Evento_Real[[#This Row],[10deMay]:[Clima]])</f>
        <v>0</v>
      </c>
    </row>
    <row r="85" spans="1:29" hidden="1" x14ac:dyDescent="0.3">
      <c r="A85" s="8">
        <v>46226</v>
      </c>
      <c r="B85" s="5">
        <v>46219</v>
      </c>
      <c r="C85" s="5">
        <v>46234</v>
      </c>
      <c r="D85" s="6">
        <v>0</v>
      </c>
      <c r="E85" t="s">
        <v>11</v>
      </c>
      <c r="F85" s="2" t="s">
        <v>42</v>
      </c>
      <c r="G85" s="2" t="s">
        <v>50</v>
      </c>
      <c r="AC85">
        <f>SUM(Evento_Real[[#This Row],[10deMay]:[Clima]])</f>
        <v>0</v>
      </c>
    </row>
    <row r="86" spans="1:29" hidden="1" x14ac:dyDescent="0.3">
      <c r="A86" s="8">
        <v>46227</v>
      </c>
      <c r="B86" s="5">
        <v>46219</v>
      </c>
      <c r="C86" s="5">
        <v>46234</v>
      </c>
      <c r="D86" s="6">
        <v>0</v>
      </c>
      <c r="E86" t="s">
        <v>11</v>
      </c>
      <c r="F86" s="2" t="s">
        <v>42</v>
      </c>
      <c r="G86" s="2" t="s">
        <v>50</v>
      </c>
      <c r="AC86">
        <f>SUM(Evento_Real[[#This Row],[10deMay]:[Clima]])</f>
        <v>0</v>
      </c>
    </row>
    <row r="87" spans="1:29" hidden="1" x14ac:dyDescent="0.3">
      <c r="A87" s="8">
        <v>46228</v>
      </c>
      <c r="B87" s="5">
        <v>46219</v>
      </c>
      <c r="C87" s="5">
        <v>46234</v>
      </c>
      <c r="D87" s="6">
        <v>0</v>
      </c>
      <c r="E87" t="s">
        <v>11</v>
      </c>
      <c r="F87" s="2" t="s">
        <v>42</v>
      </c>
      <c r="G87" s="2" t="s">
        <v>50</v>
      </c>
      <c r="AC87">
        <f>SUM(Evento_Real[[#This Row],[10deMay]:[Clima]])</f>
        <v>0</v>
      </c>
    </row>
    <row r="88" spans="1:29" hidden="1" x14ac:dyDescent="0.3">
      <c r="A88" s="8">
        <v>46229</v>
      </c>
      <c r="B88" s="5">
        <v>46219</v>
      </c>
      <c r="C88" s="5">
        <v>46234</v>
      </c>
      <c r="D88" s="6">
        <v>0</v>
      </c>
      <c r="E88" t="s">
        <v>11</v>
      </c>
      <c r="F88" s="2" t="s">
        <v>42</v>
      </c>
      <c r="G88" s="2" t="s">
        <v>50</v>
      </c>
      <c r="AC88">
        <f>SUM(Evento_Real[[#This Row],[10deMay]:[Clima]])</f>
        <v>0</v>
      </c>
    </row>
    <row r="89" spans="1:29" hidden="1" x14ac:dyDescent="0.3">
      <c r="A89" s="8">
        <v>46230</v>
      </c>
      <c r="B89" s="5">
        <v>46219</v>
      </c>
      <c r="C89" s="5">
        <v>46234</v>
      </c>
      <c r="D89" s="6">
        <v>0</v>
      </c>
      <c r="E89" t="s">
        <v>11</v>
      </c>
      <c r="F89" s="2" t="s">
        <v>42</v>
      </c>
      <c r="G89" s="2" t="s">
        <v>50</v>
      </c>
      <c r="AC89">
        <f>SUM(Evento_Real[[#This Row],[10deMay]:[Clima]])</f>
        <v>0</v>
      </c>
    </row>
    <row r="90" spans="1:29" hidden="1" x14ac:dyDescent="0.3">
      <c r="A90" s="8">
        <v>46231</v>
      </c>
      <c r="B90" s="5">
        <v>46219</v>
      </c>
      <c r="C90" s="5">
        <v>46234</v>
      </c>
      <c r="D90" s="6">
        <v>0</v>
      </c>
      <c r="E90" t="s">
        <v>11</v>
      </c>
      <c r="F90" s="2" t="s">
        <v>42</v>
      </c>
      <c r="G90" s="2" t="s">
        <v>50</v>
      </c>
      <c r="AC90">
        <f>SUM(Evento_Real[[#This Row],[10deMay]:[Clima]])</f>
        <v>0</v>
      </c>
    </row>
    <row r="91" spans="1:29" hidden="1" x14ac:dyDescent="0.3">
      <c r="A91" s="8">
        <v>46232</v>
      </c>
      <c r="B91" s="5">
        <v>46219</v>
      </c>
      <c r="C91" s="5">
        <v>46234</v>
      </c>
      <c r="D91" s="6">
        <v>0</v>
      </c>
      <c r="E91" t="s">
        <v>11</v>
      </c>
      <c r="F91" s="2" t="s">
        <v>42</v>
      </c>
      <c r="G91" s="2" t="s">
        <v>50</v>
      </c>
      <c r="AC91">
        <f>SUM(Evento_Real[[#This Row],[10deMay]:[Clima]])</f>
        <v>0</v>
      </c>
    </row>
    <row r="92" spans="1:29" hidden="1" x14ac:dyDescent="0.3">
      <c r="A92" s="8">
        <v>46233</v>
      </c>
      <c r="B92" s="5">
        <v>46219</v>
      </c>
      <c r="C92" s="5">
        <v>46234</v>
      </c>
      <c r="D92" s="6">
        <v>0</v>
      </c>
      <c r="E92" t="s">
        <v>11</v>
      </c>
      <c r="F92" s="2" t="s">
        <v>42</v>
      </c>
      <c r="G92" s="2" t="s">
        <v>50</v>
      </c>
      <c r="AC92">
        <f>SUM(Evento_Real[[#This Row],[10deMay]:[Clima]])</f>
        <v>0</v>
      </c>
    </row>
    <row r="93" spans="1:29" hidden="1" x14ac:dyDescent="0.3">
      <c r="A93" s="8">
        <v>46234</v>
      </c>
      <c r="B93" s="5">
        <v>46219</v>
      </c>
      <c r="C93" s="5">
        <v>46234</v>
      </c>
      <c r="D93" s="6">
        <v>0</v>
      </c>
      <c r="E93" t="s">
        <v>11</v>
      </c>
      <c r="F93" s="2" t="s">
        <v>42</v>
      </c>
      <c r="G93" s="2" t="s">
        <v>50</v>
      </c>
      <c r="AC93">
        <f>SUM(Evento_Real[[#This Row],[10deMay]:[Clima]])</f>
        <v>0</v>
      </c>
    </row>
    <row r="94" spans="1:29" x14ac:dyDescent="0.3">
      <c r="A94" s="8">
        <v>46235</v>
      </c>
      <c r="B94" s="5">
        <v>46235</v>
      </c>
      <c r="C94" s="5">
        <v>46249</v>
      </c>
      <c r="D94" s="6">
        <v>1</v>
      </c>
      <c r="E94" t="s">
        <v>12</v>
      </c>
      <c r="F94" s="2" t="s">
        <v>42</v>
      </c>
      <c r="G94" s="2" t="s">
        <v>50</v>
      </c>
      <c r="I94">
        <v>2500</v>
      </c>
      <c r="K94">
        <v>5000</v>
      </c>
      <c r="AC94">
        <f>SUM(Evento_Real[[#This Row],[10deMay]:[Clima]])</f>
        <v>7500</v>
      </c>
    </row>
    <row r="95" spans="1:29" hidden="1" x14ac:dyDescent="0.3">
      <c r="A95" s="8">
        <v>46236</v>
      </c>
      <c r="B95" s="5">
        <v>46235</v>
      </c>
      <c r="C95" s="5">
        <v>46249</v>
      </c>
      <c r="D95" s="6">
        <v>0</v>
      </c>
      <c r="E95" t="s">
        <v>12</v>
      </c>
      <c r="F95" s="2" t="s">
        <v>42</v>
      </c>
      <c r="G95" s="2" t="s">
        <v>50</v>
      </c>
      <c r="AC95">
        <f>SUM(Evento_Real[[#This Row],[10deMay]:[Clima]])</f>
        <v>0</v>
      </c>
    </row>
    <row r="96" spans="1:29" hidden="1" x14ac:dyDescent="0.3">
      <c r="A96" s="8">
        <v>46237</v>
      </c>
      <c r="B96" s="5">
        <v>46235</v>
      </c>
      <c r="C96" s="5">
        <v>46249</v>
      </c>
      <c r="D96" s="6">
        <v>0</v>
      </c>
      <c r="E96" t="s">
        <v>12</v>
      </c>
      <c r="F96" s="2" t="s">
        <v>42</v>
      </c>
      <c r="G96" s="2" t="s">
        <v>50</v>
      </c>
      <c r="AC96">
        <f>SUM(Evento_Real[[#This Row],[10deMay]:[Clima]])</f>
        <v>0</v>
      </c>
    </row>
    <row r="97" spans="1:29" hidden="1" x14ac:dyDescent="0.3">
      <c r="A97" s="8">
        <v>46238</v>
      </c>
      <c r="B97" s="5">
        <v>46235</v>
      </c>
      <c r="C97" s="5">
        <v>46249</v>
      </c>
      <c r="D97" s="6">
        <v>0</v>
      </c>
      <c r="E97" t="s">
        <v>12</v>
      </c>
      <c r="F97" s="2" t="s">
        <v>42</v>
      </c>
      <c r="G97" s="2" t="s">
        <v>50</v>
      </c>
      <c r="AC97">
        <f>SUM(Evento_Real[[#This Row],[10deMay]:[Clima]])</f>
        <v>0</v>
      </c>
    </row>
    <row r="98" spans="1:29" hidden="1" x14ac:dyDescent="0.3">
      <c r="A98" s="8">
        <v>46239</v>
      </c>
      <c r="B98" s="5">
        <v>46235</v>
      </c>
      <c r="C98" s="5">
        <v>46249</v>
      </c>
      <c r="D98" s="6">
        <v>0</v>
      </c>
      <c r="E98" t="s">
        <v>12</v>
      </c>
      <c r="F98" s="2" t="s">
        <v>42</v>
      </c>
      <c r="G98" s="2" t="s">
        <v>50</v>
      </c>
      <c r="AC98">
        <f>SUM(Evento_Real[[#This Row],[10deMay]:[Clima]])</f>
        <v>0</v>
      </c>
    </row>
    <row r="99" spans="1:29" hidden="1" x14ac:dyDescent="0.3">
      <c r="A99" s="8">
        <v>46240</v>
      </c>
      <c r="B99" s="5">
        <v>46235</v>
      </c>
      <c r="C99" s="5">
        <v>46249</v>
      </c>
      <c r="D99" s="6">
        <v>0</v>
      </c>
      <c r="E99" t="s">
        <v>12</v>
      </c>
      <c r="F99" s="2" t="s">
        <v>42</v>
      </c>
      <c r="G99" s="2" t="s">
        <v>50</v>
      </c>
      <c r="AC99">
        <f>SUM(Evento_Real[[#This Row],[10deMay]:[Clima]])</f>
        <v>0</v>
      </c>
    </row>
    <row r="100" spans="1:29" hidden="1" x14ac:dyDescent="0.3">
      <c r="A100" s="8">
        <v>46241</v>
      </c>
      <c r="B100" s="5">
        <v>46235</v>
      </c>
      <c r="C100" s="5">
        <v>46249</v>
      </c>
      <c r="D100" s="6">
        <v>0</v>
      </c>
      <c r="E100" t="s">
        <v>12</v>
      </c>
      <c r="F100" s="2" t="s">
        <v>42</v>
      </c>
      <c r="G100" s="2" t="s">
        <v>50</v>
      </c>
      <c r="AC100">
        <f>SUM(Evento_Real[[#This Row],[10deMay]:[Clima]])</f>
        <v>0</v>
      </c>
    </row>
    <row r="101" spans="1:29" hidden="1" x14ac:dyDescent="0.3">
      <c r="A101" s="8">
        <v>46242</v>
      </c>
      <c r="B101" s="5">
        <v>46235</v>
      </c>
      <c r="C101" s="5">
        <v>46249</v>
      </c>
      <c r="D101" s="6">
        <v>0</v>
      </c>
      <c r="E101" t="s">
        <v>12</v>
      </c>
      <c r="F101" s="2" t="s">
        <v>42</v>
      </c>
      <c r="G101" s="2" t="s">
        <v>50</v>
      </c>
      <c r="AC101">
        <f>SUM(Evento_Real[[#This Row],[10deMay]:[Clima]])</f>
        <v>0</v>
      </c>
    </row>
    <row r="102" spans="1:29" hidden="1" x14ac:dyDescent="0.3">
      <c r="A102" s="8">
        <v>46243</v>
      </c>
      <c r="B102" s="5">
        <v>46235</v>
      </c>
      <c r="C102" s="5">
        <v>46249</v>
      </c>
      <c r="D102" s="6">
        <v>0</v>
      </c>
      <c r="E102" t="s">
        <v>12</v>
      </c>
      <c r="F102" s="2" t="s">
        <v>42</v>
      </c>
      <c r="G102" s="2" t="s">
        <v>50</v>
      </c>
      <c r="AC102">
        <f>SUM(Evento_Real[[#This Row],[10deMay]:[Clima]])</f>
        <v>0</v>
      </c>
    </row>
    <row r="103" spans="1:29" hidden="1" x14ac:dyDescent="0.3">
      <c r="A103" s="8">
        <v>46244</v>
      </c>
      <c r="B103" s="5">
        <v>46235</v>
      </c>
      <c r="C103" s="5">
        <v>46249</v>
      </c>
      <c r="D103" s="6">
        <v>0</v>
      </c>
      <c r="E103" t="s">
        <v>12</v>
      </c>
      <c r="F103" s="2" t="s">
        <v>42</v>
      </c>
      <c r="G103" s="2" t="s">
        <v>50</v>
      </c>
      <c r="AC103">
        <f>SUM(Evento_Real[[#This Row],[10deMay]:[Clima]])</f>
        <v>0</v>
      </c>
    </row>
    <row r="104" spans="1:29" hidden="1" x14ac:dyDescent="0.3">
      <c r="A104" s="8">
        <v>46245</v>
      </c>
      <c r="B104" s="5">
        <v>46235</v>
      </c>
      <c r="C104" s="5">
        <v>46249</v>
      </c>
      <c r="D104" s="6">
        <v>0</v>
      </c>
      <c r="E104" t="s">
        <v>12</v>
      </c>
      <c r="F104" s="2" t="s">
        <v>42</v>
      </c>
      <c r="G104" s="2" t="s">
        <v>50</v>
      </c>
      <c r="AC104">
        <f>SUM(Evento_Real[[#This Row],[10deMay]:[Clima]])</f>
        <v>0</v>
      </c>
    </row>
    <row r="105" spans="1:29" hidden="1" x14ac:dyDescent="0.3">
      <c r="A105" s="8">
        <v>46246</v>
      </c>
      <c r="B105" s="5">
        <v>46235</v>
      </c>
      <c r="C105" s="5">
        <v>46249</v>
      </c>
      <c r="D105" s="6">
        <v>0</v>
      </c>
      <c r="E105" t="s">
        <v>12</v>
      </c>
      <c r="F105" s="2" t="s">
        <v>42</v>
      </c>
      <c r="G105" s="2" t="s">
        <v>50</v>
      </c>
      <c r="AC105">
        <f>SUM(Evento_Real[[#This Row],[10deMay]:[Clima]])</f>
        <v>0</v>
      </c>
    </row>
    <row r="106" spans="1:29" hidden="1" x14ac:dyDescent="0.3">
      <c r="A106" s="8">
        <v>46247</v>
      </c>
      <c r="B106" s="5">
        <v>46235</v>
      </c>
      <c r="C106" s="5">
        <v>46249</v>
      </c>
      <c r="D106" s="6">
        <v>0</v>
      </c>
      <c r="E106" t="s">
        <v>12</v>
      </c>
      <c r="F106" s="2" t="s">
        <v>42</v>
      </c>
      <c r="G106" s="2" t="s">
        <v>50</v>
      </c>
      <c r="AC106">
        <f>SUM(Evento_Real[[#This Row],[10deMay]:[Clima]])</f>
        <v>0</v>
      </c>
    </row>
    <row r="107" spans="1:29" hidden="1" x14ac:dyDescent="0.3">
      <c r="A107" s="8">
        <v>46248</v>
      </c>
      <c r="B107" s="5">
        <v>46235</v>
      </c>
      <c r="C107" s="5">
        <v>46249</v>
      </c>
      <c r="D107" s="6">
        <v>0</v>
      </c>
      <c r="E107" t="s">
        <v>12</v>
      </c>
      <c r="F107" s="2" t="s">
        <v>42</v>
      </c>
      <c r="G107" s="2" t="s">
        <v>50</v>
      </c>
      <c r="AC107">
        <f>SUM(Evento_Real[[#This Row],[10deMay]:[Clima]])</f>
        <v>0</v>
      </c>
    </row>
    <row r="108" spans="1:29" hidden="1" x14ac:dyDescent="0.3">
      <c r="A108" s="8">
        <v>46249</v>
      </c>
      <c r="B108" s="5">
        <v>46235</v>
      </c>
      <c r="C108" s="5">
        <v>46249</v>
      </c>
      <c r="D108" s="6">
        <v>0</v>
      </c>
      <c r="E108" t="s">
        <v>12</v>
      </c>
      <c r="F108" s="2" t="s">
        <v>42</v>
      </c>
      <c r="G108" s="2" t="s">
        <v>50</v>
      </c>
      <c r="AC108">
        <f>SUM(Evento_Real[[#This Row],[10deMay]:[Clima]])</f>
        <v>0</v>
      </c>
    </row>
    <row r="109" spans="1:29" x14ac:dyDescent="0.3">
      <c r="A109" s="8">
        <v>46250</v>
      </c>
      <c r="B109" s="5">
        <v>46250</v>
      </c>
      <c r="C109" s="5">
        <v>46265</v>
      </c>
      <c r="D109" s="6">
        <v>1</v>
      </c>
      <c r="E109" t="s">
        <v>13</v>
      </c>
      <c r="F109" s="2" t="s">
        <v>42</v>
      </c>
      <c r="G109" s="2" t="s">
        <v>50</v>
      </c>
      <c r="K109">
        <v>5000</v>
      </c>
      <c r="L109">
        <v>4200</v>
      </c>
      <c r="AC109">
        <f>SUM(Evento_Real[[#This Row],[10deMay]:[Clima]])</f>
        <v>9200</v>
      </c>
    </row>
    <row r="110" spans="1:29" hidden="1" x14ac:dyDescent="0.3">
      <c r="A110" s="8">
        <v>46251</v>
      </c>
      <c r="B110" s="5">
        <v>46250</v>
      </c>
      <c r="C110" s="5">
        <v>46265</v>
      </c>
      <c r="D110" s="6">
        <v>0</v>
      </c>
      <c r="E110" t="s">
        <v>13</v>
      </c>
      <c r="F110" s="2" t="s">
        <v>42</v>
      </c>
      <c r="G110" s="2" t="s">
        <v>50</v>
      </c>
      <c r="AC110">
        <f>SUM(Evento_Real[[#This Row],[10deMay]:[Clima]])</f>
        <v>0</v>
      </c>
    </row>
    <row r="111" spans="1:29" hidden="1" x14ac:dyDescent="0.3">
      <c r="A111" s="8">
        <v>46252</v>
      </c>
      <c r="B111" s="5">
        <v>46250</v>
      </c>
      <c r="C111" s="5">
        <v>46265</v>
      </c>
      <c r="D111" s="6">
        <v>0</v>
      </c>
      <c r="E111" t="s">
        <v>13</v>
      </c>
      <c r="F111" s="2" t="s">
        <v>42</v>
      </c>
      <c r="G111" s="2" t="s">
        <v>50</v>
      </c>
      <c r="AC111">
        <f>SUM(Evento_Real[[#This Row],[10deMay]:[Clima]])</f>
        <v>0</v>
      </c>
    </row>
    <row r="112" spans="1:29" hidden="1" x14ac:dyDescent="0.3">
      <c r="A112" s="8">
        <v>46253</v>
      </c>
      <c r="B112" s="5">
        <v>46250</v>
      </c>
      <c r="C112" s="5">
        <v>46265</v>
      </c>
      <c r="D112" s="6">
        <v>0</v>
      </c>
      <c r="E112" t="s">
        <v>13</v>
      </c>
      <c r="F112" s="2" t="s">
        <v>42</v>
      </c>
      <c r="G112" s="2" t="s">
        <v>50</v>
      </c>
      <c r="AC112">
        <f>SUM(Evento_Real[[#This Row],[10deMay]:[Clima]])</f>
        <v>0</v>
      </c>
    </row>
    <row r="113" spans="1:29" hidden="1" x14ac:dyDescent="0.3">
      <c r="A113" s="8">
        <v>46254</v>
      </c>
      <c r="B113" s="5">
        <v>46250</v>
      </c>
      <c r="C113" s="5">
        <v>46265</v>
      </c>
      <c r="D113" s="6">
        <v>0</v>
      </c>
      <c r="E113" t="s">
        <v>13</v>
      </c>
      <c r="F113" s="2" t="s">
        <v>42</v>
      </c>
      <c r="G113" s="2" t="s">
        <v>50</v>
      </c>
      <c r="AC113">
        <f>SUM(Evento_Real[[#This Row],[10deMay]:[Clima]])</f>
        <v>0</v>
      </c>
    </row>
    <row r="114" spans="1:29" hidden="1" x14ac:dyDescent="0.3">
      <c r="A114" s="8">
        <v>46255</v>
      </c>
      <c r="B114" s="5">
        <v>46250</v>
      </c>
      <c r="C114" s="5">
        <v>46265</v>
      </c>
      <c r="D114" s="6">
        <v>0</v>
      </c>
      <c r="E114" t="s">
        <v>13</v>
      </c>
      <c r="F114" s="2" t="s">
        <v>42</v>
      </c>
      <c r="G114" s="2" t="s">
        <v>50</v>
      </c>
      <c r="AC114">
        <f>SUM(Evento_Real[[#This Row],[10deMay]:[Clima]])</f>
        <v>0</v>
      </c>
    </row>
    <row r="115" spans="1:29" hidden="1" x14ac:dyDescent="0.3">
      <c r="A115" s="8">
        <v>46256</v>
      </c>
      <c r="B115" s="5">
        <v>46250</v>
      </c>
      <c r="C115" s="5">
        <v>46265</v>
      </c>
      <c r="D115" s="6">
        <v>0</v>
      </c>
      <c r="E115" t="s">
        <v>13</v>
      </c>
      <c r="F115" s="2" t="s">
        <v>42</v>
      </c>
      <c r="G115" s="2" t="s">
        <v>50</v>
      </c>
      <c r="AC115">
        <f>SUM(Evento_Real[[#This Row],[10deMay]:[Clima]])</f>
        <v>0</v>
      </c>
    </row>
    <row r="116" spans="1:29" hidden="1" x14ac:dyDescent="0.3">
      <c r="A116" s="8">
        <v>46257</v>
      </c>
      <c r="B116" s="5">
        <v>46250</v>
      </c>
      <c r="C116" s="5">
        <v>46265</v>
      </c>
      <c r="D116" s="6">
        <v>0</v>
      </c>
      <c r="E116" t="s">
        <v>13</v>
      </c>
      <c r="F116" s="2" t="s">
        <v>42</v>
      </c>
      <c r="G116" s="2" t="s">
        <v>50</v>
      </c>
      <c r="AC116">
        <f>SUM(Evento_Real[[#This Row],[10deMay]:[Clima]])</f>
        <v>0</v>
      </c>
    </row>
    <row r="117" spans="1:29" hidden="1" x14ac:dyDescent="0.3">
      <c r="A117" s="8">
        <v>46258</v>
      </c>
      <c r="B117" s="5">
        <v>46250</v>
      </c>
      <c r="C117" s="5">
        <v>46265</v>
      </c>
      <c r="D117" s="6">
        <v>0</v>
      </c>
      <c r="E117" t="s">
        <v>13</v>
      </c>
      <c r="F117" s="2" t="s">
        <v>42</v>
      </c>
      <c r="G117" s="2" t="s">
        <v>50</v>
      </c>
      <c r="AC117">
        <f>SUM(Evento_Real[[#This Row],[10deMay]:[Clima]])</f>
        <v>0</v>
      </c>
    </row>
    <row r="118" spans="1:29" hidden="1" x14ac:dyDescent="0.3">
      <c r="A118" s="8">
        <v>46259</v>
      </c>
      <c r="B118" s="5">
        <v>46250</v>
      </c>
      <c r="C118" s="5">
        <v>46265</v>
      </c>
      <c r="D118" s="6">
        <v>0</v>
      </c>
      <c r="E118" t="s">
        <v>13</v>
      </c>
      <c r="F118" s="2" t="s">
        <v>42</v>
      </c>
      <c r="G118" s="2" t="s">
        <v>50</v>
      </c>
      <c r="AC118">
        <f>SUM(Evento_Real[[#This Row],[10deMay]:[Clima]])</f>
        <v>0</v>
      </c>
    </row>
    <row r="119" spans="1:29" hidden="1" x14ac:dyDescent="0.3">
      <c r="A119" s="8">
        <v>46260</v>
      </c>
      <c r="B119" s="5">
        <v>46250</v>
      </c>
      <c r="C119" s="5">
        <v>46265</v>
      </c>
      <c r="D119" s="6">
        <v>0</v>
      </c>
      <c r="E119" t="s">
        <v>13</v>
      </c>
      <c r="F119" s="2" t="s">
        <v>42</v>
      </c>
      <c r="G119" s="2" t="s">
        <v>50</v>
      </c>
      <c r="AC119">
        <f>SUM(Evento_Real[[#This Row],[10deMay]:[Clima]])</f>
        <v>0</v>
      </c>
    </row>
    <row r="120" spans="1:29" hidden="1" x14ac:dyDescent="0.3">
      <c r="A120" s="8">
        <v>46261</v>
      </c>
      <c r="B120" s="5">
        <v>46250</v>
      </c>
      <c r="C120" s="5">
        <v>46265</v>
      </c>
      <c r="D120" s="6">
        <v>0</v>
      </c>
      <c r="E120" t="s">
        <v>13</v>
      </c>
      <c r="F120" s="2" t="s">
        <v>42</v>
      </c>
      <c r="G120" s="2" t="s">
        <v>50</v>
      </c>
      <c r="AC120">
        <f>SUM(Evento_Real[[#This Row],[10deMay]:[Clima]])</f>
        <v>0</v>
      </c>
    </row>
    <row r="121" spans="1:29" hidden="1" x14ac:dyDescent="0.3">
      <c r="A121" s="8">
        <v>46262</v>
      </c>
      <c r="B121" s="5">
        <v>46250</v>
      </c>
      <c r="C121" s="5">
        <v>46265</v>
      </c>
      <c r="D121" s="6">
        <v>0</v>
      </c>
      <c r="E121" t="s">
        <v>13</v>
      </c>
      <c r="F121" s="2" t="s">
        <v>42</v>
      </c>
      <c r="G121" s="2" t="s">
        <v>50</v>
      </c>
      <c r="AC121">
        <f>SUM(Evento_Real[[#This Row],[10deMay]:[Clima]])</f>
        <v>0</v>
      </c>
    </row>
    <row r="122" spans="1:29" hidden="1" x14ac:dyDescent="0.3">
      <c r="A122" s="8">
        <v>46263</v>
      </c>
      <c r="B122" s="5">
        <v>46250</v>
      </c>
      <c r="C122" s="5">
        <v>46265</v>
      </c>
      <c r="D122" s="6">
        <v>0</v>
      </c>
      <c r="E122" t="s">
        <v>13</v>
      </c>
      <c r="F122" s="2" t="s">
        <v>42</v>
      </c>
      <c r="G122" s="2" t="s">
        <v>50</v>
      </c>
      <c r="AC122">
        <f>SUM(Evento_Real[[#This Row],[10deMay]:[Clima]])</f>
        <v>0</v>
      </c>
    </row>
    <row r="123" spans="1:29" hidden="1" x14ac:dyDescent="0.3">
      <c r="A123" s="8">
        <v>46264</v>
      </c>
      <c r="B123" s="5">
        <v>46250</v>
      </c>
      <c r="C123" s="5">
        <v>46265</v>
      </c>
      <c r="D123" s="6">
        <v>0</v>
      </c>
      <c r="E123" t="s">
        <v>13</v>
      </c>
      <c r="F123" s="2" t="s">
        <v>42</v>
      </c>
      <c r="G123" s="2" t="s">
        <v>50</v>
      </c>
      <c r="AC123">
        <f>SUM(Evento_Real[[#This Row],[10deMay]:[Clima]])</f>
        <v>0</v>
      </c>
    </row>
    <row r="124" spans="1:29" hidden="1" x14ac:dyDescent="0.3">
      <c r="A124" s="8">
        <v>46265</v>
      </c>
      <c r="B124" s="5">
        <v>46250</v>
      </c>
      <c r="C124" s="5">
        <v>46265</v>
      </c>
      <c r="D124" s="6">
        <v>0</v>
      </c>
      <c r="E124" t="s">
        <v>13</v>
      </c>
      <c r="F124" s="2" t="s">
        <v>42</v>
      </c>
      <c r="G124" s="2" t="s">
        <v>50</v>
      </c>
      <c r="AC124">
        <f>SUM(Evento_Real[[#This Row],[10deMay]:[Clima]])</f>
        <v>0</v>
      </c>
    </row>
    <row r="125" spans="1:29" x14ac:dyDescent="0.3">
      <c r="A125" s="8">
        <v>46266</v>
      </c>
      <c r="B125" s="5">
        <v>46266</v>
      </c>
      <c r="C125" s="5">
        <v>46280</v>
      </c>
      <c r="D125" s="6">
        <v>1</v>
      </c>
      <c r="E125" t="s">
        <v>14</v>
      </c>
      <c r="F125" s="2" t="s">
        <v>42</v>
      </c>
      <c r="G125" s="2" t="s">
        <v>50</v>
      </c>
      <c r="K125">
        <v>2000</v>
      </c>
      <c r="P125">
        <v>10000</v>
      </c>
      <c r="AC125">
        <f>SUM(Evento_Real[[#This Row],[10deMay]:[Clima]])</f>
        <v>12000</v>
      </c>
    </row>
    <row r="126" spans="1:29" hidden="1" x14ac:dyDescent="0.3">
      <c r="A126" s="8">
        <v>46267</v>
      </c>
      <c r="B126" s="5">
        <v>46266</v>
      </c>
      <c r="C126" s="5">
        <v>46280</v>
      </c>
      <c r="D126" s="6">
        <v>0</v>
      </c>
      <c r="E126" t="s">
        <v>14</v>
      </c>
      <c r="F126" s="2" t="s">
        <v>42</v>
      </c>
      <c r="G126" s="2" t="s">
        <v>50</v>
      </c>
      <c r="AC126">
        <f>SUM(Evento_Real[[#This Row],[10deMay]:[Clima]])</f>
        <v>0</v>
      </c>
    </row>
    <row r="127" spans="1:29" hidden="1" x14ac:dyDescent="0.3">
      <c r="A127" s="8">
        <v>46268</v>
      </c>
      <c r="B127" s="5">
        <v>46266</v>
      </c>
      <c r="C127" s="5">
        <v>46280</v>
      </c>
      <c r="D127" s="6">
        <v>0</v>
      </c>
      <c r="E127" t="s">
        <v>14</v>
      </c>
      <c r="F127" s="2" t="s">
        <v>42</v>
      </c>
      <c r="G127" s="2" t="s">
        <v>50</v>
      </c>
      <c r="AC127">
        <f>SUM(Evento_Real[[#This Row],[10deMay]:[Clima]])</f>
        <v>0</v>
      </c>
    </row>
    <row r="128" spans="1:29" hidden="1" x14ac:dyDescent="0.3">
      <c r="A128" s="8">
        <v>46269</v>
      </c>
      <c r="B128" s="5">
        <v>46266</v>
      </c>
      <c r="C128" s="5">
        <v>46280</v>
      </c>
      <c r="D128" s="6">
        <v>0</v>
      </c>
      <c r="E128" t="s">
        <v>14</v>
      </c>
      <c r="F128" s="2" t="s">
        <v>42</v>
      </c>
      <c r="G128" s="2" t="s">
        <v>50</v>
      </c>
      <c r="AC128">
        <f>SUM(Evento_Real[[#This Row],[10deMay]:[Clima]])</f>
        <v>0</v>
      </c>
    </row>
    <row r="129" spans="1:29" hidden="1" x14ac:dyDescent="0.3">
      <c r="A129" s="8">
        <v>46270</v>
      </c>
      <c r="B129" s="5">
        <v>46266</v>
      </c>
      <c r="C129" s="5">
        <v>46280</v>
      </c>
      <c r="D129" s="6">
        <v>0</v>
      </c>
      <c r="E129" t="s">
        <v>14</v>
      </c>
      <c r="F129" s="2" t="s">
        <v>42</v>
      </c>
      <c r="G129" s="2" t="s">
        <v>50</v>
      </c>
      <c r="AC129">
        <f>SUM(Evento_Real[[#This Row],[10deMay]:[Clima]])</f>
        <v>0</v>
      </c>
    </row>
    <row r="130" spans="1:29" hidden="1" x14ac:dyDescent="0.3">
      <c r="A130" s="8">
        <v>46271</v>
      </c>
      <c r="B130" s="5">
        <v>46266</v>
      </c>
      <c r="C130" s="5">
        <v>46280</v>
      </c>
      <c r="D130" s="6">
        <v>0</v>
      </c>
      <c r="E130" t="s">
        <v>14</v>
      </c>
      <c r="F130" s="2" t="s">
        <v>42</v>
      </c>
      <c r="G130" s="2" t="s">
        <v>50</v>
      </c>
      <c r="AC130">
        <f>SUM(Evento_Real[[#This Row],[10deMay]:[Clima]])</f>
        <v>0</v>
      </c>
    </row>
    <row r="131" spans="1:29" hidden="1" x14ac:dyDescent="0.3">
      <c r="A131" s="8">
        <v>46272</v>
      </c>
      <c r="B131" s="5">
        <v>46266</v>
      </c>
      <c r="C131" s="5">
        <v>46280</v>
      </c>
      <c r="D131" s="6">
        <v>0</v>
      </c>
      <c r="E131" t="s">
        <v>14</v>
      </c>
      <c r="F131" s="2" t="s">
        <v>42</v>
      </c>
      <c r="G131" s="2" t="s">
        <v>50</v>
      </c>
      <c r="AC131">
        <f>SUM(Evento_Real[[#This Row],[10deMay]:[Clima]])</f>
        <v>0</v>
      </c>
    </row>
    <row r="132" spans="1:29" hidden="1" x14ac:dyDescent="0.3">
      <c r="A132" s="8">
        <v>46273</v>
      </c>
      <c r="B132" s="5">
        <v>46266</v>
      </c>
      <c r="C132" s="5">
        <v>46280</v>
      </c>
      <c r="D132" s="6">
        <v>0</v>
      </c>
      <c r="E132" t="s">
        <v>14</v>
      </c>
      <c r="F132" s="2" t="s">
        <v>42</v>
      </c>
      <c r="G132" s="2" t="s">
        <v>50</v>
      </c>
      <c r="AC132">
        <f>SUM(Evento_Real[[#This Row],[10deMay]:[Clima]])</f>
        <v>0</v>
      </c>
    </row>
    <row r="133" spans="1:29" hidden="1" x14ac:dyDescent="0.3">
      <c r="A133" s="8">
        <v>46274</v>
      </c>
      <c r="B133" s="5">
        <v>46266</v>
      </c>
      <c r="C133" s="5">
        <v>46280</v>
      </c>
      <c r="D133" s="6">
        <v>0</v>
      </c>
      <c r="E133" t="s">
        <v>14</v>
      </c>
      <c r="F133" s="2" t="s">
        <v>42</v>
      </c>
      <c r="G133" s="2" t="s">
        <v>50</v>
      </c>
      <c r="AC133">
        <f>SUM(Evento_Real[[#This Row],[10deMay]:[Clima]])</f>
        <v>0</v>
      </c>
    </row>
    <row r="134" spans="1:29" hidden="1" x14ac:dyDescent="0.3">
      <c r="A134" s="8">
        <v>46275</v>
      </c>
      <c r="B134" s="5">
        <v>46266</v>
      </c>
      <c r="C134" s="5">
        <v>46280</v>
      </c>
      <c r="D134" s="6">
        <v>0</v>
      </c>
      <c r="E134" t="s">
        <v>14</v>
      </c>
      <c r="F134" s="2" t="s">
        <v>42</v>
      </c>
      <c r="G134" s="2" t="s">
        <v>50</v>
      </c>
      <c r="AC134">
        <f>SUM(Evento_Real[[#This Row],[10deMay]:[Clima]])</f>
        <v>0</v>
      </c>
    </row>
    <row r="135" spans="1:29" hidden="1" x14ac:dyDescent="0.3">
      <c r="A135" s="8">
        <v>46276</v>
      </c>
      <c r="B135" s="5">
        <v>46266</v>
      </c>
      <c r="C135" s="5">
        <v>46280</v>
      </c>
      <c r="D135" s="6">
        <v>0</v>
      </c>
      <c r="E135" t="s">
        <v>14</v>
      </c>
      <c r="F135" s="2" t="s">
        <v>42</v>
      </c>
      <c r="G135" s="2" t="s">
        <v>50</v>
      </c>
      <c r="AC135">
        <f>SUM(Evento_Real[[#This Row],[10deMay]:[Clima]])</f>
        <v>0</v>
      </c>
    </row>
    <row r="136" spans="1:29" hidden="1" x14ac:dyDescent="0.3">
      <c r="A136" s="8">
        <v>46277</v>
      </c>
      <c r="B136" s="5">
        <v>46266</v>
      </c>
      <c r="C136" s="5">
        <v>46280</v>
      </c>
      <c r="D136" s="6">
        <v>0</v>
      </c>
      <c r="E136" t="s">
        <v>14</v>
      </c>
      <c r="F136" s="2" t="s">
        <v>42</v>
      </c>
      <c r="G136" s="2" t="s">
        <v>50</v>
      </c>
      <c r="AC136">
        <f>SUM(Evento_Real[[#This Row],[10deMay]:[Clima]])</f>
        <v>0</v>
      </c>
    </row>
    <row r="137" spans="1:29" hidden="1" x14ac:dyDescent="0.3">
      <c r="A137" s="8">
        <v>46278</v>
      </c>
      <c r="B137" s="5">
        <v>46266</v>
      </c>
      <c r="C137" s="5">
        <v>46280</v>
      </c>
      <c r="D137" s="6">
        <v>0</v>
      </c>
      <c r="E137" t="s">
        <v>14</v>
      </c>
      <c r="F137" s="2" t="s">
        <v>42</v>
      </c>
      <c r="G137" s="2" t="s">
        <v>50</v>
      </c>
      <c r="AC137">
        <f>SUM(Evento_Real[[#This Row],[10deMay]:[Clima]])</f>
        <v>0</v>
      </c>
    </row>
    <row r="138" spans="1:29" hidden="1" x14ac:dyDescent="0.3">
      <c r="A138" s="8">
        <v>46279</v>
      </c>
      <c r="B138" s="5">
        <v>46266</v>
      </c>
      <c r="C138" s="5">
        <v>46280</v>
      </c>
      <c r="D138" s="6">
        <v>0</v>
      </c>
      <c r="E138" t="s">
        <v>14</v>
      </c>
      <c r="F138" s="2" t="s">
        <v>42</v>
      </c>
      <c r="G138" s="2" t="s">
        <v>50</v>
      </c>
      <c r="AC138">
        <f>SUM(Evento_Real[[#This Row],[10deMay]:[Clima]])</f>
        <v>0</v>
      </c>
    </row>
    <row r="139" spans="1:29" hidden="1" x14ac:dyDescent="0.3">
      <c r="A139" s="8">
        <v>46280</v>
      </c>
      <c r="B139" s="5">
        <v>46266</v>
      </c>
      <c r="C139" s="5">
        <v>46280</v>
      </c>
      <c r="D139" s="6">
        <v>0</v>
      </c>
      <c r="E139" t="s">
        <v>14</v>
      </c>
      <c r="F139" s="2" t="s">
        <v>42</v>
      </c>
      <c r="G139" s="2" t="s">
        <v>50</v>
      </c>
      <c r="AC139">
        <f>SUM(Evento_Real[[#This Row],[10deMay]:[Clima]])</f>
        <v>0</v>
      </c>
    </row>
    <row r="140" spans="1:29" x14ac:dyDescent="0.3">
      <c r="A140" s="8">
        <v>46281</v>
      </c>
      <c r="B140" s="5">
        <v>46281</v>
      </c>
      <c r="C140" s="5">
        <v>46295</v>
      </c>
      <c r="D140" s="6">
        <v>1</v>
      </c>
      <c r="E140" t="s">
        <v>15</v>
      </c>
      <c r="F140" s="2" t="s">
        <v>42</v>
      </c>
      <c r="G140" s="2" t="s">
        <v>50</v>
      </c>
      <c r="P140">
        <v>10000</v>
      </c>
      <c r="AC140">
        <f>SUM(Evento_Real[[#This Row],[10deMay]:[Clima]])</f>
        <v>10000</v>
      </c>
    </row>
    <row r="141" spans="1:29" hidden="1" x14ac:dyDescent="0.3">
      <c r="A141" s="8">
        <v>46282</v>
      </c>
      <c r="B141" s="5">
        <v>46281</v>
      </c>
      <c r="C141" s="5">
        <v>46295</v>
      </c>
      <c r="D141" s="6">
        <v>0</v>
      </c>
      <c r="E141" t="s">
        <v>15</v>
      </c>
      <c r="F141" s="2" t="s">
        <v>42</v>
      </c>
      <c r="G141" s="2" t="s">
        <v>50</v>
      </c>
      <c r="AC141">
        <f>SUM(Evento_Real[[#This Row],[10deMay]:[Clima]])</f>
        <v>0</v>
      </c>
    </row>
    <row r="142" spans="1:29" hidden="1" x14ac:dyDescent="0.3">
      <c r="A142" s="8">
        <v>46283</v>
      </c>
      <c r="B142" s="5">
        <v>46281</v>
      </c>
      <c r="C142" s="5">
        <v>46295</v>
      </c>
      <c r="D142" s="6">
        <v>0</v>
      </c>
      <c r="E142" t="s">
        <v>15</v>
      </c>
      <c r="F142" s="2" t="s">
        <v>42</v>
      </c>
      <c r="G142" s="2" t="s">
        <v>50</v>
      </c>
      <c r="AC142">
        <f>SUM(Evento_Real[[#This Row],[10deMay]:[Clima]])</f>
        <v>0</v>
      </c>
    </row>
    <row r="143" spans="1:29" hidden="1" x14ac:dyDescent="0.3">
      <c r="A143" s="8">
        <v>46284</v>
      </c>
      <c r="B143" s="5">
        <v>46281</v>
      </c>
      <c r="C143" s="5">
        <v>46295</v>
      </c>
      <c r="D143" s="6">
        <v>0</v>
      </c>
      <c r="E143" t="s">
        <v>15</v>
      </c>
      <c r="F143" s="2" t="s">
        <v>42</v>
      </c>
      <c r="G143" s="2" t="s">
        <v>50</v>
      </c>
      <c r="AC143">
        <f>SUM(Evento_Real[[#This Row],[10deMay]:[Clima]])</f>
        <v>0</v>
      </c>
    </row>
    <row r="144" spans="1:29" hidden="1" x14ac:dyDescent="0.3">
      <c r="A144" s="8">
        <v>46285</v>
      </c>
      <c r="B144" s="5">
        <v>46281</v>
      </c>
      <c r="C144" s="5">
        <v>46295</v>
      </c>
      <c r="D144" s="6">
        <v>0</v>
      </c>
      <c r="E144" t="s">
        <v>15</v>
      </c>
      <c r="F144" s="2" t="s">
        <v>42</v>
      </c>
      <c r="G144" s="2" t="s">
        <v>50</v>
      </c>
      <c r="AC144">
        <f>SUM(Evento_Real[[#This Row],[10deMay]:[Clima]])</f>
        <v>0</v>
      </c>
    </row>
    <row r="145" spans="1:29" hidden="1" x14ac:dyDescent="0.3">
      <c r="A145" s="8">
        <v>46286</v>
      </c>
      <c r="B145" s="5">
        <v>46281</v>
      </c>
      <c r="C145" s="5">
        <v>46295</v>
      </c>
      <c r="D145" s="6">
        <v>0</v>
      </c>
      <c r="E145" t="s">
        <v>15</v>
      </c>
      <c r="F145" s="2" t="s">
        <v>42</v>
      </c>
      <c r="G145" s="2" t="s">
        <v>50</v>
      </c>
      <c r="AC145">
        <f>SUM(Evento_Real[[#This Row],[10deMay]:[Clima]])</f>
        <v>0</v>
      </c>
    </row>
    <row r="146" spans="1:29" hidden="1" x14ac:dyDescent="0.3">
      <c r="A146" s="8">
        <v>46287</v>
      </c>
      <c r="B146" s="5">
        <v>46281</v>
      </c>
      <c r="C146" s="5">
        <v>46295</v>
      </c>
      <c r="D146" s="6">
        <v>0</v>
      </c>
      <c r="E146" t="s">
        <v>15</v>
      </c>
      <c r="F146" s="2" t="s">
        <v>42</v>
      </c>
      <c r="G146" s="2" t="s">
        <v>50</v>
      </c>
      <c r="AC146">
        <f>SUM(Evento_Real[[#This Row],[10deMay]:[Clima]])</f>
        <v>0</v>
      </c>
    </row>
    <row r="147" spans="1:29" hidden="1" x14ac:dyDescent="0.3">
      <c r="A147" s="8">
        <v>46288</v>
      </c>
      <c r="B147" s="5">
        <v>46281</v>
      </c>
      <c r="C147" s="5">
        <v>46295</v>
      </c>
      <c r="D147" s="6">
        <v>0</v>
      </c>
      <c r="E147" t="s">
        <v>15</v>
      </c>
      <c r="F147" s="2" t="s">
        <v>42</v>
      </c>
      <c r="G147" s="2" t="s">
        <v>50</v>
      </c>
      <c r="AC147">
        <f>SUM(Evento_Real[[#This Row],[10deMay]:[Clima]])</f>
        <v>0</v>
      </c>
    </row>
    <row r="148" spans="1:29" hidden="1" x14ac:dyDescent="0.3">
      <c r="A148" s="8">
        <v>46289</v>
      </c>
      <c r="B148" s="5">
        <v>46281</v>
      </c>
      <c r="C148" s="5">
        <v>46295</v>
      </c>
      <c r="D148" s="6">
        <v>0</v>
      </c>
      <c r="E148" t="s">
        <v>15</v>
      </c>
      <c r="F148" s="2" t="s">
        <v>42</v>
      </c>
      <c r="G148" s="2" t="s">
        <v>50</v>
      </c>
      <c r="AC148">
        <f>SUM(Evento_Real[[#This Row],[10deMay]:[Clima]])</f>
        <v>0</v>
      </c>
    </row>
    <row r="149" spans="1:29" hidden="1" x14ac:dyDescent="0.3">
      <c r="A149" s="8">
        <v>46290</v>
      </c>
      <c r="B149" s="5">
        <v>46281</v>
      </c>
      <c r="C149" s="5">
        <v>46295</v>
      </c>
      <c r="D149" s="6">
        <v>0</v>
      </c>
      <c r="E149" t="s">
        <v>15</v>
      </c>
      <c r="F149" s="2" t="s">
        <v>42</v>
      </c>
      <c r="G149" s="2" t="s">
        <v>50</v>
      </c>
      <c r="AC149">
        <f>SUM(Evento_Real[[#This Row],[10deMay]:[Clima]])</f>
        <v>0</v>
      </c>
    </row>
    <row r="150" spans="1:29" hidden="1" x14ac:dyDescent="0.3">
      <c r="A150" s="8">
        <v>46291</v>
      </c>
      <c r="B150" s="5">
        <v>46281</v>
      </c>
      <c r="C150" s="5">
        <v>46295</v>
      </c>
      <c r="D150" s="6">
        <v>0</v>
      </c>
      <c r="E150" t="s">
        <v>15</v>
      </c>
      <c r="F150" s="2" t="s">
        <v>42</v>
      </c>
      <c r="G150" s="2" t="s">
        <v>50</v>
      </c>
      <c r="AC150">
        <f>SUM(Evento_Real[[#This Row],[10deMay]:[Clima]])</f>
        <v>0</v>
      </c>
    </row>
    <row r="151" spans="1:29" hidden="1" x14ac:dyDescent="0.3">
      <c r="A151" s="8">
        <v>46292</v>
      </c>
      <c r="B151" s="5">
        <v>46281</v>
      </c>
      <c r="C151" s="5">
        <v>46295</v>
      </c>
      <c r="D151" s="6">
        <v>0</v>
      </c>
      <c r="E151" t="s">
        <v>15</v>
      </c>
      <c r="F151" s="2" t="s">
        <v>42</v>
      </c>
      <c r="G151" s="2" t="s">
        <v>50</v>
      </c>
      <c r="AC151">
        <f>SUM(Evento_Real[[#This Row],[10deMay]:[Clima]])</f>
        <v>0</v>
      </c>
    </row>
    <row r="152" spans="1:29" hidden="1" x14ac:dyDescent="0.3">
      <c r="A152" s="8">
        <v>46293</v>
      </c>
      <c r="B152" s="5">
        <v>46281</v>
      </c>
      <c r="C152" s="5">
        <v>46295</v>
      </c>
      <c r="D152" s="6">
        <v>0</v>
      </c>
      <c r="E152" t="s">
        <v>15</v>
      </c>
      <c r="F152" s="2" t="s">
        <v>42</v>
      </c>
      <c r="G152" s="2" t="s">
        <v>50</v>
      </c>
      <c r="AC152">
        <f>SUM(Evento_Real[[#This Row],[10deMay]:[Clima]])</f>
        <v>0</v>
      </c>
    </row>
    <row r="153" spans="1:29" hidden="1" x14ac:dyDescent="0.3">
      <c r="A153" s="8">
        <v>46294</v>
      </c>
      <c r="B153" s="5">
        <v>46281</v>
      </c>
      <c r="C153" s="5">
        <v>46295</v>
      </c>
      <c r="D153" s="6">
        <v>0</v>
      </c>
      <c r="E153" t="s">
        <v>15</v>
      </c>
      <c r="F153" s="2" t="s">
        <v>42</v>
      </c>
      <c r="G153" s="2" t="s">
        <v>50</v>
      </c>
      <c r="AC153">
        <f>SUM(Evento_Real[[#This Row],[10deMay]:[Clima]])</f>
        <v>0</v>
      </c>
    </row>
    <row r="154" spans="1:29" hidden="1" x14ac:dyDescent="0.3">
      <c r="A154" s="8">
        <v>46295</v>
      </c>
      <c r="B154" s="5">
        <v>46281</v>
      </c>
      <c r="C154" s="5">
        <v>46295</v>
      </c>
      <c r="D154" s="6">
        <v>0</v>
      </c>
      <c r="E154" t="s">
        <v>15</v>
      </c>
      <c r="F154" s="2" t="s">
        <v>42</v>
      </c>
      <c r="G154" s="2" t="s">
        <v>50</v>
      </c>
      <c r="AC154">
        <f>SUM(Evento_Real[[#This Row],[10deMay]:[Clima]])</f>
        <v>0</v>
      </c>
    </row>
    <row r="155" spans="1:29" x14ac:dyDescent="0.3">
      <c r="A155" s="8">
        <v>46296</v>
      </c>
      <c r="B155" s="5">
        <v>46296</v>
      </c>
      <c r="C155" s="5">
        <v>46310</v>
      </c>
      <c r="D155" s="6">
        <v>1</v>
      </c>
      <c r="E155" t="s">
        <v>16</v>
      </c>
      <c r="F155" s="2" t="s">
        <v>42</v>
      </c>
      <c r="G155" s="2" t="s">
        <v>50</v>
      </c>
      <c r="AC155">
        <f>SUM(Evento_Real[[#This Row],[10deMay]:[Clima]])</f>
        <v>0</v>
      </c>
    </row>
    <row r="156" spans="1:29" hidden="1" x14ac:dyDescent="0.3">
      <c r="A156" s="8">
        <v>46297</v>
      </c>
      <c r="B156" s="5">
        <v>46296</v>
      </c>
      <c r="C156" s="5">
        <v>46310</v>
      </c>
      <c r="D156" s="6">
        <v>0</v>
      </c>
      <c r="E156" t="s">
        <v>16</v>
      </c>
      <c r="F156" s="2" t="s">
        <v>42</v>
      </c>
      <c r="G156" s="2" t="s">
        <v>50</v>
      </c>
      <c r="AC156">
        <f>SUM(Evento_Real[[#This Row],[10deMay]:[Clima]])</f>
        <v>0</v>
      </c>
    </row>
    <row r="157" spans="1:29" hidden="1" x14ac:dyDescent="0.3">
      <c r="A157" s="8">
        <v>46298</v>
      </c>
      <c r="B157" s="5">
        <v>46296</v>
      </c>
      <c r="C157" s="5">
        <v>46310</v>
      </c>
      <c r="D157" s="6">
        <v>0</v>
      </c>
      <c r="E157" t="s">
        <v>16</v>
      </c>
      <c r="F157" s="2" t="s">
        <v>42</v>
      </c>
      <c r="G157" s="2" t="s">
        <v>50</v>
      </c>
      <c r="AC157">
        <f>SUM(Evento_Real[[#This Row],[10deMay]:[Clima]])</f>
        <v>0</v>
      </c>
    </row>
    <row r="158" spans="1:29" hidden="1" x14ac:dyDescent="0.3">
      <c r="A158" s="8">
        <v>46299</v>
      </c>
      <c r="B158" s="5">
        <v>46296</v>
      </c>
      <c r="C158" s="5">
        <v>46310</v>
      </c>
      <c r="D158" s="6">
        <v>0</v>
      </c>
      <c r="E158" t="s">
        <v>16</v>
      </c>
      <c r="F158" s="2" t="s">
        <v>42</v>
      </c>
      <c r="G158" s="2" t="s">
        <v>50</v>
      </c>
      <c r="AC158">
        <f>SUM(Evento_Real[[#This Row],[10deMay]:[Clima]])</f>
        <v>0</v>
      </c>
    </row>
    <row r="159" spans="1:29" hidden="1" x14ac:dyDescent="0.3">
      <c r="A159" s="8">
        <v>46300</v>
      </c>
      <c r="B159" s="5">
        <v>46296</v>
      </c>
      <c r="C159" s="5">
        <v>46310</v>
      </c>
      <c r="D159" s="6">
        <v>0</v>
      </c>
      <c r="E159" t="s">
        <v>16</v>
      </c>
      <c r="F159" s="2" t="s">
        <v>42</v>
      </c>
      <c r="G159" s="2" t="s">
        <v>50</v>
      </c>
      <c r="AC159">
        <f>SUM(Evento_Real[[#This Row],[10deMay]:[Clima]])</f>
        <v>0</v>
      </c>
    </row>
    <row r="160" spans="1:29" hidden="1" x14ac:dyDescent="0.3">
      <c r="A160" s="8">
        <v>46301</v>
      </c>
      <c r="B160" s="5">
        <v>46296</v>
      </c>
      <c r="C160" s="5">
        <v>46310</v>
      </c>
      <c r="D160" s="6">
        <v>0</v>
      </c>
      <c r="E160" t="s">
        <v>16</v>
      </c>
      <c r="F160" s="2" t="s">
        <v>42</v>
      </c>
      <c r="G160" s="2" t="s">
        <v>50</v>
      </c>
      <c r="AC160">
        <f>SUM(Evento_Real[[#This Row],[10deMay]:[Clima]])</f>
        <v>0</v>
      </c>
    </row>
    <row r="161" spans="1:29" hidden="1" x14ac:dyDescent="0.3">
      <c r="A161" s="8">
        <v>46302</v>
      </c>
      <c r="B161" s="5">
        <v>46296</v>
      </c>
      <c r="C161" s="5">
        <v>46310</v>
      </c>
      <c r="D161" s="6">
        <v>0</v>
      </c>
      <c r="E161" t="s">
        <v>16</v>
      </c>
      <c r="F161" s="2" t="s">
        <v>42</v>
      </c>
      <c r="G161" s="2" t="s">
        <v>50</v>
      </c>
      <c r="AC161">
        <f>SUM(Evento_Real[[#This Row],[10deMay]:[Clima]])</f>
        <v>0</v>
      </c>
    </row>
    <row r="162" spans="1:29" hidden="1" x14ac:dyDescent="0.3">
      <c r="A162" s="8">
        <v>46303</v>
      </c>
      <c r="B162" s="5">
        <v>46296</v>
      </c>
      <c r="C162" s="5">
        <v>46310</v>
      </c>
      <c r="D162" s="6">
        <v>0</v>
      </c>
      <c r="E162" t="s">
        <v>16</v>
      </c>
      <c r="F162" s="2" t="s">
        <v>42</v>
      </c>
      <c r="G162" s="2" t="s">
        <v>50</v>
      </c>
      <c r="AC162">
        <f>SUM(Evento_Real[[#This Row],[10deMay]:[Clima]])</f>
        <v>0</v>
      </c>
    </row>
    <row r="163" spans="1:29" hidden="1" x14ac:dyDescent="0.3">
      <c r="A163" s="8">
        <v>46304</v>
      </c>
      <c r="B163" s="5">
        <v>46296</v>
      </c>
      <c r="C163" s="5">
        <v>46310</v>
      </c>
      <c r="D163" s="6">
        <v>0</v>
      </c>
      <c r="E163" t="s">
        <v>16</v>
      </c>
      <c r="F163" s="2" t="s">
        <v>42</v>
      </c>
      <c r="G163" s="2" t="s">
        <v>50</v>
      </c>
      <c r="AC163">
        <f>SUM(Evento_Real[[#This Row],[10deMay]:[Clima]])</f>
        <v>0</v>
      </c>
    </row>
    <row r="164" spans="1:29" hidden="1" x14ac:dyDescent="0.3">
      <c r="A164" s="8">
        <v>46305</v>
      </c>
      <c r="B164" s="5">
        <v>46296</v>
      </c>
      <c r="C164" s="5">
        <v>46310</v>
      </c>
      <c r="D164" s="6">
        <v>0</v>
      </c>
      <c r="E164" t="s">
        <v>16</v>
      </c>
      <c r="F164" s="2" t="s">
        <v>42</v>
      </c>
      <c r="G164" s="2" t="s">
        <v>50</v>
      </c>
      <c r="AC164">
        <f>SUM(Evento_Real[[#This Row],[10deMay]:[Clima]])</f>
        <v>0</v>
      </c>
    </row>
    <row r="165" spans="1:29" hidden="1" x14ac:dyDescent="0.3">
      <c r="A165" s="8">
        <v>46306</v>
      </c>
      <c r="B165" s="5">
        <v>46296</v>
      </c>
      <c r="C165" s="5">
        <v>46310</v>
      </c>
      <c r="D165" s="6">
        <v>0</v>
      </c>
      <c r="E165" t="s">
        <v>16</v>
      </c>
      <c r="F165" s="2" t="s">
        <v>42</v>
      </c>
      <c r="G165" s="2" t="s">
        <v>50</v>
      </c>
      <c r="AC165">
        <f>SUM(Evento_Real[[#This Row],[10deMay]:[Clima]])</f>
        <v>0</v>
      </c>
    </row>
    <row r="166" spans="1:29" hidden="1" x14ac:dyDescent="0.3">
      <c r="A166" s="8">
        <v>46307</v>
      </c>
      <c r="B166" s="5">
        <v>46296</v>
      </c>
      <c r="C166" s="5">
        <v>46310</v>
      </c>
      <c r="D166" s="6">
        <v>0</v>
      </c>
      <c r="E166" t="s">
        <v>16</v>
      </c>
      <c r="F166" s="2" t="s">
        <v>42</v>
      </c>
      <c r="G166" s="2" t="s">
        <v>50</v>
      </c>
      <c r="AC166">
        <f>SUM(Evento_Real[[#This Row],[10deMay]:[Clima]])</f>
        <v>0</v>
      </c>
    </row>
    <row r="167" spans="1:29" hidden="1" x14ac:dyDescent="0.3">
      <c r="A167" s="8">
        <v>46308</v>
      </c>
      <c r="B167" s="5">
        <v>46296</v>
      </c>
      <c r="C167" s="5">
        <v>46310</v>
      </c>
      <c r="D167" s="6">
        <v>0</v>
      </c>
      <c r="E167" t="s">
        <v>16</v>
      </c>
      <c r="F167" s="2" t="s">
        <v>42</v>
      </c>
      <c r="G167" s="2" t="s">
        <v>50</v>
      </c>
      <c r="AC167">
        <f>SUM(Evento_Real[[#This Row],[10deMay]:[Clima]])</f>
        <v>0</v>
      </c>
    </row>
    <row r="168" spans="1:29" hidden="1" x14ac:dyDescent="0.3">
      <c r="A168" s="8">
        <v>46309</v>
      </c>
      <c r="B168" s="5">
        <v>46296</v>
      </c>
      <c r="C168" s="5">
        <v>46310</v>
      </c>
      <c r="D168" s="6">
        <v>0</v>
      </c>
      <c r="E168" t="s">
        <v>16</v>
      </c>
      <c r="F168" s="2" t="s">
        <v>42</v>
      </c>
      <c r="G168" s="2" t="s">
        <v>50</v>
      </c>
      <c r="AC168">
        <f>SUM(Evento_Real[[#This Row],[10deMay]:[Clima]])</f>
        <v>0</v>
      </c>
    </row>
    <row r="169" spans="1:29" hidden="1" x14ac:dyDescent="0.3">
      <c r="A169" s="8">
        <v>46310</v>
      </c>
      <c r="B169" s="5">
        <v>46296</v>
      </c>
      <c r="C169" s="5">
        <v>46310</v>
      </c>
      <c r="D169" s="6">
        <v>0</v>
      </c>
      <c r="E169" t="s">
        <v>16</v>
      </c>
      <c r="F169" s="2" t="s">
        <v>42</v>
      </c>
      <c r="G169" s="2" t="s">
        <v>50</v>
      </c>
      <c r="AC169">
        <f>SUM(Evento_Real[[#This Row],[10deMay]:[Clima]])</f>
        <v>0</v>
      </c>
    </row>
    <row r="170" spans="1:29" x14ac:dyDescent="0.3">
      <c r="A170" s="8">
        <v>46311</v>
      </c>
      <c r="B170" s="5">
        <v>46311</v>
      </c>
      <c r="C170" s="5">
        <v>46326</v>
      </c>
      <c r="D170" s="6">
        <v>1</v>
      </c>
      <c r="E170" t="s">
        <v>17</v>
      </c>
      <c r="F170" s="2" t="s">
        <v>42</v>
      </c>
      <c r="G170" s="2" t="s">
        <v>50</v>
      </c>
      <c r="AC170">
        <f>SUM(Evento_Real[[#This Row],[10deMay]:[Clima]])</f>
        <v>0</v>
      </c>
    </row>
    <row r="171" spans="1:29" hidden="1" x14ac:dyDescent="0.3">
      <c r="A171" s="8">
        <v>46312</v>
      </c>
      <c r="B171" s="5">
        <v>46311</v>
      </c>
      <c r="C171" s="5">
        <v>46326</v>
      </c>
      <c r="D171" s="6">
        <v>0</v>
      </c>
      <c r="E171" t="s">
        <v>17</v>
      </c>
      <c r="F171" s="2" t="s">
        <v>42</v>
      </c>
      <c r="G171" s="2" t="s">
        <v>50</v>
      </c>
      <c r="AC171">
        <f>SUM(Evento_Real[[#This Row],[10deMay]:[Clima]])</f>
        <v>0</v>
      </c>
    </row>
    <row r="172" spans="1:29" hidden="1" x14ac:dyDescent="0.3">
      <c r="A172" s="8">
        <v>46313</v>
      </c>
      <c r="B172" s="5">
        <v>46311</v>
      </c>
      <c r="C172" s="5">
        <v>46326</v>
      </c>
      <c r="D172" s="6">
        <v>0</v>
      </c>
      <c r="E172" t="s">
        <v>17</v>
      </c>
      <c r="F172" s="2" t="s">
        <v>42</v>
      </c>
      <c r="G172" s="2" t="s">
        <v>50</v>
      </c>
      <c r="AC172">
        <f>SUM(Evento_Real[[#This Row],[10deMay]:[Clima]])</f>
        <v>0</v>
      </c>
    </row>
    <row r="173" spans="1:29" hidden="1" x14ac:dyDescent="0.3">
      <c r="A173" s="8">
        <v>46314</v>
      </c>
      <c r="B173" s="5">
        <v>46311</v>
      </c>
      <c r="C173" s="5">
        <v>46326</v>
      </c>
      <c r="D173" s="6">
        <v>0</v>
      </c>
      <c r="E173" t="s">
        <v>17</v>
      </c>
      <c r="F173" s="2" t="s">
        <v>42</v>
      </c>
      <c r="G173" s="2" t="s">
        <v>50</v>
      </c>
      <c r="AC173">
        <f>SUM(Evento_Real[[#This Row],[10deMay]:[Clima]])</f>
        <v>0</v>
      </c>
    </row>
    <row r="174" spans="1:29" hidden="1" x14ac:dyDescent="0.3">
      <c r="A174" s="8">
        <v>46315</v>
      </c>
      <c r="B174" s="5">
        <v>46311</v>
      </c>
      <c r="C174" s="5">
        <v>46326</v>
      </c>
      <c r="D174" s="6">
        <v>0</v>
      </c>
      <c r="E174" t="s">
        <v>17</v>
      </c>
      <c r="F174" s="2" t="s">
        <v>42</v>
      </c>
      <c r="G174" s="2" t="s">
        <v>50</v>
      </c>
      <c r="AC174">
        <f>SUM(Evento_Real[[#This Row],[10deMay]:[Clima]])</f>
        <v>0</v>
      </c>
    </row>
    <row r="175" spans="1:29" hidden="1" x14ac:dyDescent="0.3">
      <c r="A175" s="8">
        <v>46316</v>
      </c>
      <c r="B175" s="5">
        <v>46311</v>
      </c>
      <c r="C175" s="5">
        <v>46326</v>
      </c>
      <c r="D175" s="6">
        <v>0</v>
      </c>
      <c r="E175" t="s">
        <v>17</v>
      </c>
      <c r="F175" s="2" t="s">
        <v>42</v>
      </c>
      <c r="G175" s="2" t="s">
        <v>50</v>
      </c>
      <c r="AC175">
        <f>SUM(Evento_Real[[#This Row],[10deMay]:[Clima]])</f>
        <v>0</v>
      </c>
    </row>
    <row r="176" spans="1:29" hidden="1" x14ac:dyDescent="0.3">
      <c r="A176" s="8">
        <v>46317</v>
      </c>
      <c r="B176" s="5">
        <v>46311</v>
      </c>
      <c r="C176" s="5">
        <v>46326</v>
      </c>
      <c r="D176" s="6">
        <v>0</v>
      </c>
      <c r="E176" t="s">
        <v>17</v>
      </c>
      <c r="F176" s="2" t="s">
        <v>42</v>
      </c>
      <c r="G176" s="2" t="s">
        <v>50</v>
      </c>
      <c r="AC176">
        <f>SUM(Evento_Real[[#This Row],[10deMay]:[Clima]])</f>
        <v>0</v>
      </c>
    </row>
    <row r="177" spans="1:29" hidden="1" x14ac:dyDescent="0.3">
      <c r="A177" s="8">
        <v>46318</v>
      </c>
      <c r="B177" s="5">
        <v>46311</v>
      </c>
      <c r="C177" s="5">
        <v>46326</v>
      </c>
      <c r="D177" s="6">
        <v>0</v>
      </c>
      <c r="E177" t="s">
        <v>17</v>
      </c>
      <c r="F177" s="2" t="s">
        <v>42</v>
      </c>
      <c r="G177" s="2" t="s">
        <v>50</v>
      </c>
      <c r="AC177">
        <f>SUM(Evento_Real[[#This Row],[10deMay]:[Clima]])</f>
        <v>0</v>
      </c>
    </row>
    <row r="178" spans="1:29" hidden="1" x14ac:dyDescent="0.3">
      <c r="A178" s="8">
        <v>46319</v>
      </c>
      <c r="B178" s="5">
        <v>46311</v>
      </c>
      <c r="C178" s="5">
        <v>46326</v>
      </c>
      <c r="D178" s="6">
        <v>0</v>
      </c>
      <c r="E178" t="s">
        <v>17</v>
      </c>
      <c r="F178" s="2" t="s">
        <v>42</v>
      </c>
      <c r="G178" s="2" t="s">
        <v>50</v>
      </c>
      <c r="AC178">
        <f>SUM(Evento_Real[[#This Row],[10deMay]:[Clima]])</f>
        <v>0</v>
      </c>
    </row>
    <row r="179" spans="1:29" hidden="1" x14ac:dyDescent="0.3">
      <c r="A179" s="8">
        <v>46320</v>
      </c>
      <c r="B179" s="5">
        <v>46311</v>
      </c>
      <c r="C179" s="5">
        <v>46326</v>
      </c>
      <c r="D179" s="6">
        <v>0</v>
      </c>
      <c r="E179" t="s">
        <v>17</v>
      </c>
      <c r="F179" s="2" t="s">
        <v>42</v>
      </c>
      <c r="G179" s="2" t="s">
        <v>50</v>
      </c>
      <c r="AC179">
        <f>SUM(Evento_Real[[#This Row],[10deMay]:[Clima]])</f>
        <v>0</v>
      </c>
    </row>
    <row r="180" spans="1:29" hidden="1" x14ac:dyDescent="0.3">
      <c r="A180" s="8">
        <v>46321</v>
      </c>
      <c r="B180" s="5">
        <v>46311</v>
      </c>
      <c r="C180" s="5">
        <v>46326</v>
      </c>
      <c r="D180" s="6">
        <v>0</v>
      </c>
      <c r="E180" t="s">
        <v>17</v>
      </c>
      <c r="F180" s="2" t="s">
        <v>42</v>
      </c>
      <c r="G180" s="2" t="s">
        <v>50</v>
      </c>
      <c r="AC180">
        <f>SUM(Evento_Real[[#This Row],[10deMay]:[Clima]])</f>
        <v>0</v>
      </c>
    </row>
    <row r="181" spans="1:29" hidden="1" x14ac:dyDescent="0.3">
      <c r="A181" s="8">
        <v>46322</v>
      </c>
      <c r="B181" s="5">
        <v>46311</v>
      </c>
      <c r="C181" s="5">
        <v>46326</v>
      </c>
      <c r="D181" s="6">
        <v>0</v>
      </c>
      <c r="E181" t="s">
        <v>17</v>
      </c>
      <c r="F181" s="2" t="s">
        <v>42</v>
      </c>
      <c r="G181" s="2" t="s">
        <v>50</v>
      </c>
      <c r="AC181">
        <f>SUM(Evento_Real[[#This Row],[10deMay]:[Clima]])</f>
        <v>0</v>
      </c>
    </row>
    <row r="182" spans="1:29" hidden="1" x14ac:dyDescent="0.3">
      <c r="A182" s="8">
        <v>46323</v>
      </c>
      <c r="B182" s="5">
        <v>46311</v>
      </c>
      <c r="C182" s="5">
        <v>46326</v>
      </c>
      <c r="D182" s="6">
        <v>0</v>
      </c>
      <c r="E182" t="s">
        <v>17</v>
      </c>
      <c r="F182" s="2" t="s">
        <v>42</v>
      </c>
      <c r="G182" s="2" t="s">
        <v>50</v>
      </c>
      <c r="AC182">
        <f>SUM(Evento_Real[[#This Row],[10deMay]:[Clima]])</f>
        <v>0</v>
      </c>
    </row>
    <row r="183" spans="1:29" hidden="1" x14ac:dyDescent="0.3">
      <c r="A183" s="8">
        <v>46324</v>
      </c>
      <c r="B183" s="5">
        <v>46311</v>
      </c>
      <c r="C183" s="5">
        <v>46326</v>
      </c>
      <c r="D183" s="6">
        <v>0</v>
      </c>
      <c r="E183" t="s">
        <v>17</v>
      </c>
      <c r="F183" s="2" t="s">
        <v>42</v>
      </c>
      <c r="G183" s="2" t="s">
        <v>50</v>
      </c>
      <c r="AC183">
        <f>SUM(Evento_Real[[#This Row],[10deMay]:[Clima]])</f>
        <v>0</v>
      </c>
    </row>
    <row r="184" spans="1:29" hidden="1" x14ac:dyDescent="0.3">
      <c r="A184" s="8">
        <v>46325</v>
      </c>
      <c r="B184" s="5">
        <v>46311</v>
      </c>
      <c r="C184" s="5">
        <v>46326</v>
      </c>
      <c r="D184" s="6">
        <v>0</v>
      </c>
      <c r="E184" t="s">
        <v>17</v>
      </c>
      <c r="F184" s="2" t="s">
        <v>42</v>
      </c>
      <c r="G184" s="2" t="s">
        <v>50</v>
      </c>
      <c r="AC184">
        <f>SUM(Evento_Real[[#This Row],[10deMay]:[Clima]])</f>
        <v>0</v>
      </c>
    </row>
    <row r="185" spans="1:29" hidden="1" x14ac:dyDescent="0.3">
      <c r="A185" s="8">
        <v>46326</v>
      </c>
      <c r="B185" s="5">
        <v>46311</v>
      </c>
      <c r="C185" s="5">
        <v>46326</v>
      </c>
      <c r="D185" s="6">
        <v>0</v>
      </c>
      <c r="E185" t="s">
        <v>17</v>
      </c>
      <c r="F185" s="2" t="s">
        <v>42</v>
      </c>
      <c r="G185" s="2" t="s">
        <v>50</v>
      </c>
      <c r="AC185">
        <f>SUM(Evento_Real[[#This Row],[10deMay]:[Clima]])</f>
        <v>0</v>
      </c>
    </row>
    <row r="186" spans="1:29" x14ac:dyDescent="0.3">
      <c r="A186" s="8">
        <v>46327</v>
      </c>
      <c r="B186" s="5">
        <v>46327</v>
      </c>
      <c r="C186" s="5">
        <v>46341</v>
      </c>
      <c r="D186" s="6">
        <v>1</v>
      </c>
      <c r="E186" t="s">
        <v>18</v>
      </c>
      <c r="F186" s="2" t="s">
        <v>42</v>
      </c>
      <c r="G186" s="2" t="s">
        <v>50</v>
      </c>
      <c r="AC186">
        <f>SUM(Evento_Real[[#This Row],[10deMay]:[Clima]])</f>
        <v>0</v>
      </c>
    </row>
    <row r="187" spans="1:29" hidden="1" x14ac:dyDescent="0.3">
      <c r="A187" s="8">
        <v>46328</v>
      </c>
      <c r="B187" s="5">
        <v>46327</v>
      </c>
      <c r="C187" s="5">
        <v>46341</v>
      </c>
      <c r="D187" s="6">
        <v>0</v>
      </c>
      <c r="E187" t="s">
        <v>18</v>
      </c>
      <c r="F187" s="2" t="s">
        <v>42</v>
      </c>
      <c r="G187" s="2" t="s">
        <v>50</v>
      </c>
      <c r="AC187">
        <f>SUM(Evento_Real[[#This Row],[10deMay]:[Clima]])</f>
        <v>0</v>
      </c>
    </row>
    <row r="188" spans="1:29" hidden="1" x14ac:dyDescent="0.3">
      <c r="A188" s="8">
        <v>46329</v>
      </c>
      <c r="B188" s="5">
        <v>46327</v>
      </c>
      <c r="C188" s="5">
        <v>46341</v>
      </c>
      <c r="D188" s="6">
        <v>0</v>
      </c>
      <c r="E188" t="s">
        <v>18</v>
      </c>
      <c r="F188" s="2" t="s">
        <v>42</v>
      </c>
      <c r="G188" s="2" t="s">
        <v>50</v>
      </c>
      <c r="AC188">
        <f>SUM(Evento_Real[[#This Row],[10deMay]:[Clima]])</f>
        <v>0</v>
      </c>
    </row>
    <row r="189" spans="1:29" hidden="1" x14ac:dyDescent="0.3">
      <c r="A189" s="8">
        <v>46330</v>
      </c>
      <c r="B189" s="5">
        <v>46327</v>
      </c>
      <c r="C189" s="5">
        <v>46341</v>
      </c>
      <c r="D189" s="6">
        <v>0</v>
      </c>
      <c r="E189" t="s">
        <v>18</v>
      </c>
      <c r="F189" s="2" t="s">
        <v>42</v>
      </c>
      <c r="G189" s="2" t="s">
        <v>50</v>
      </c>
      <c r="AC189">
        <f>SUM(Evento_Real[[#This Row],[10deMay]:[Clima]])</f>
        <v>0</v>
      </c>
    </row>
    <row r="190" spans="1:29" hidden="1" x14ac:dyDescent="0.3">
      <c r="A190" s="8">
        <v>46331</v>
      </c>
      <c r="B190" s="5">
        <v>46327</v>
      </c>
      <c r="C190" s="5">
        <v>46341</v>
      </c>
      <c r="D190" s="6">
        <v>0</v>
      </c>
      <c r="E190" t="s">
        <v>18</v>
      </c>
      <c r="F190" s="2" t="s">
        <v>42</v>
      </c>
      <c r="G190" s="2" t="s">
        <v>50</v>
      </c>
      <c r="AC190">
        <f>SUM(Evento_Real[[#This Row],[10deMay]:[Clima]])</f>
        <v>0</v>
      </c>
    </row>
    <row r="191" spans="1:29" hidden="1" x14ac:dyDescent="0.3">
      <c r="A191" s="8">
        <v>46332</v>
      </c>
      <c r="B191" s="5">
        <v>46327</v>
      </c>
      <c r="C191" s="5">
        <v>46341</v>
      </c>
      <c r="D191" s="6">
        <v>0</v>
      </c>
      <c r="E191" t="s">
        <v>18</v>
      </c>
      <c r="F191" s="2" t="s">
        <v>42</v>
      </c>
      <c r="G191" s="2" t="s">
        <v>50</v>
      </c>
      <c r="AC191">
        <f>SUM(Evento_Real[[#This Row],[10deMay]:[Clima]])</f>
        <v>0</v>
      </c>
    </row>
    <row r="192" spans="1:29" hidden="1" x14ac:dyDescent="0.3">
      <c r="A192" s="8">
        <v>46333</v>
      </c>
      <c r="B192" s="5">
        <v>46327</v>
      </c>
      <c r="C192" s="5">
        <v>46341</v>
      </c>
      <c r="D192" s="6">
        <v>0</v>
      </c>
      <c r="E192" t="s">
        <v>18</v>
      </c>
      <c r="F192" s="2" t="s">
        <v>42</v>
      </c>
      <c r="G192" s="2" t="s">
        <v>50</v>
      </c>
      <c r="AC192">
        <f>SUM(Evento_Real[[#This Row],[10deMay]:[Clima]])</f>
        <v>0</v>
      </c>
    </row>
    <row r="193" spans="1:29" hidden="1" x14ac:dyDescent="0.3">
      <c r="A193" s="8">
        <v>46334</v>
      </c>
      <c r="B193" s="5">
        <v>46327</v>
      </c>
      <c r="C193" s="5">
        <v>46341</v>
      </c>
      <c r="D193" s="6">
        <v>0</v>
      </c>
      <c r="E193" t="s">
        <v>18</v>
      </c>
      <c r="F193" s="2" t="s">
        <v>42</v>
      </c>
      <c r="G193" s="2" t="s">
        <v>50</v>
      </c>
      <c r="AC193">
        <f>SUM(Evento_Real[[#This Row],[10deMay]:[Clima]])</f>
        <v>0</v>
      </c>
    </row>
    <row r="194" spans="1:29" hidden="1" x14ac:dyDescent="0.3">
      <c r="A194" s="8">
        <v>46335</v>
      </c>
      <c r="B194" s="5">
        <v>46327</v>
      </c>
      <c r="C194" s="5">
        <v>46341</v>
      </c>
      <c r="D194" s="6">
        <v>0</v>
      </c>
      <c r="E194" t="s">
        <v>18</v>
      </c>
      <c r="F194" s="2" t="s">
        <v>42</v>
      </c>
      <c r="G194" s="2" t="s">
        <v>50</v>
      </c>
      <c r="AC194">
        <f>SUM(Evento_Real[[#This Row],[10deMay]:[Clima]])</f>
        <v>0</v>
      </c>
    </row>
    <row r="195" spans="1:29" hidden="1" x14ac:dyDescent="0.3">
      <c r="A195" s="8">
        <v>46336</v>
      </c>
      <c r="B195" s="5">
        <v>46327</v>
      </c>
      <c r="C195" s="5">
        <v>46341</v>
      </c>
      <c r="D195" s="6">
        <v>0</v>
      </c>
      <c r="E195" t="s">
        <v>18</v>
      </c>
      <c r="F195" s="2" t="s">
        <v>42</v>
      </c>
      <c r="G195" s="2" t="s">
        <v>50</v>
      </c>
      <c r="AC195">
        <f>SUM(Evento_Real[[#This Row],[10deMay]:[Clima]])</f>
        <v>0</v>
      </c>
    </row>
    <row r="196" spans="1:29" hidden="1" x14ac:dyDescent="0.3">
      <c r="A196" s="8">
        <v>46337</v>
      </c>
      <c r="B196" s="5">
        <v>46327</v>
      </c>
      <c r="C196" s="5">
        <v>46341</v>
      </c>
      <c r="D196" s="6">
        <v>0</v>
      </c>
      <c r="E196" t="s">
        <v>18</v>
      </c>
      <c r="F196" s="2" t="s">
        <v>42</v>
      </c>
      <c r="G196" s="2" t="s">
        <v>50</v>
      </c>
      <c r="AC196">
        <f>SUM(Evento_Real[[#This Row],[10deMay]:[Clima]])</f>
        <v>0</v>
      </c>
    </row>
    <row r="197" spans="1:29" hidden="1" x14ac:dyDescent="0.3">
      <c r="A197" s="8">
        <v>46338</v>
      </c>
      <c r="B197" s="5">
        <v>46327</v>
      </c>
      <c r="C197" s="5">
        <v>46341</v>
      </c>
      <c r="D197" s="6">
        <v>0</v>
      </c>
      <c r="E197" t="s">
        <v>18</v>
      </c>
      <c r="F197" s="2" t="s">
        <v>42</v>
      </c>
      <c r="G197" s="2" t="s">
        <v>50</v>
      </c>
      <c r="AC197">
        <f>SUM(Evento_Real[[#This Row],[10deMay]:[Clima]])</f>
        <v>0</v>
      </c>
    </row>
    <row r="198" spans="1:29" hidden="1" x14ac:dyDescent="0.3">
      <c r="A198" s="8">
        <v>46339</v>
      </c>
      <c r="B198" s="5">
        <v>46327</v>
      </c>
      <c r="C198" s="5">
        <v>46341</v>
      </c>
      <c r="D198" s="6">
        <v>0</v>
      </c>
      <c r="E198" t="s">
        <v>18</v>
      </c>
      <c r="F198" s="2" t="s">
        <v>42</v>
      </c>
      <c r="G198" s="2" t="s">
        <v>50</v>
      </c>
      <c r="AC198">
        <f>SUM(Evento_Real[[#This Row],[10deMay]:[Clima]])</f>
        <v>0</v>
      </c>
    </row>
    <row r="199" spans="1:29" hidden="1" x14ac:dyDescent="0.3">
      <c r="A199" s="8">
        <v>46340</v>
      </c>
      <c r="B199" s="5">
        <v>46327</v>
      </c>
      <c r="C199" s="5">
        <v>46341</v>
      </c>
      <c r="D199" s="6">
        <v>0</v>
      </c>
      <c r="E199" t="s">
        <v>18</v>
      </c>
      <c r="F199" s="2" t="s">
        <v>42</v>
      </c>
      <c r="G199" s="2" t="s">
        <v>50</v>
      </c>
      <c r="AC199">
        <f>SUM(Evento_Real[[#This Row],[10deMay]:[Clima]])</f>
        <v>0</v>
      </c>
    </row>
    <row r="200" spans="1:29" hidden="1" x14ac:dyDescent="0.3">
      <c r="A200" s="8">
        <v>46341</v>
      </c>
      <c r="B200" s="5">
        <v>46327</v>
      </c>
      <c r="C200" s="5">
        <v>46341</v>
      </c>
      <c r="D200" s="6">
        <v>0</v>
      </c>
      <c r="E200" t="s">
        <v>18</v>
      </c>
      <c r="F200" s="2" t="s">
        <v>42</v>
      </c>
      <c r="G200" s="2" t="s">
        <v>50</v>
      </c>
      <c r="AC200">
        <f>SUM(Evento_Real[[#This Row],[10deMay]:[Clima]])</f>
        <v>0</v>
      </c>
    </row>
    <row r="201" spans="1:29" x14ac:dyDescent="0.3">
      <c r="A201" s="8">
        <v>46342</v>
      </c>
      <c r="B201" s="5">
        <v>46342</v>
      </c>
      <c r="C201" s="5">
        <v>46356</v>
      </c>
      <c r="D201" s="6">
        <v>1</v>
      </c>
      <c r="E201" t="s">
        <v>19</v>
      </c>
      <c r="F201" s="2" t="s">
        <v>42</v>
      </c>
      <c r="G201" s="2" t="s">
        <v>50</v>
      </c>
      <c r="M201">
        <v>5000</v>
      </c>
      <c r="AC201">
        <f>SUM(Evento_Real[[#This Row],[10deMay]:[Clima]])</f>
        <v>5000</v>
      </c>
    </row>
    <row r="202" spans="1:29" hidden="1" x14ac:dyDescent="0.3">
      <c r="A202" s="8">
        <v>46343</v>
      </c>
      <c r="B202" s="5">
        <v>46342</v>
      </c>
      <c r="C202" s="5">
        <v>46356</v>
      </c>
      <c r="D202" s="6">
        <v>0</v>
      </c>
      <c r="E202" t="s">
        <v>19</v>
      </c>
      <c r="F202" s="2" t="s">
        <v>42</v>
      </c>
      <c r="G202" s="2" t="s">
        <v>50</v>
      </c>
      <c r="AC202">
        <f>SUM(Evento_Real[[#This Row],[10deMay]:[Clima]])</f>
        <v>0</v>
      </c>
    </row>
    <row r="203" spans="1:29" hidden="1" x14ac:dyDescent="0.3">
      <c r="A203" s="8">
        <v>46344</v>
      </c>
      <c r="B203" s="5">
        <v>46342</v>
      </c>
      <c r="C203" s="5">
        <v>46356</v>
      </c>
      <c r="D203" s="6">
        <v>0</v>
      </c>
      <c r="E203" t="s">
        <v>19</v>
      </c>
      <c r="F203" s="2" t="s">
        <v>42</v>
      </c>
      <c r="G203" s="2" t="s">
        <v>50</v>
      </c>
      <c r="AC203">
        <f>SUM(Evento_Real[[#This Row],[10deMay]:[Clima]])</f>
        <v>0</v>
      </c>
    </row>
    <row r="204" spans="1:29" hidden="1" x14ac:dyDescent="0.3">
      <c r="A204" s="8">
        <v>46345</v>
      </c>
      <c r="B204" s="5">
        <v>46342</v>
      </c>
      <c r="C204" s="5">
        <v>46356</v>
      </c>
      <c r="D204" s="6">
        <v>0</v>
      </c>
      <c r="E204" t="s">
        <v>19</v>
      </c>
      <c r="F204" s="2" t="s">
        <v>42</v>
      </c>
      <c r="G204" s="2" t="s">
        <v>50</v>
      </c>
      <c r="AC204">
        <f>SUM(Evento_Real[[#This Row],[10deMay]:[Clima]])</f>
        <v>0</v>
      </c>
    </row>
    <row r="205" spans="1:29" hidden="1" x14ac:dyDescent="0.3">
      <c r="A205" s="8">
        <v>46346</v>
      </c>
      <c r="B205" s="5">
        <v>46342</v>
      </c>
      <c r="C205" s="5">
        <v>46356</v>
      </c>
      <c r="D205" s="6">
        <v>0</v>
      </c>
      <c r="E205" t="s">
        <v>19</v>
      </c>
      <c r="F205" s="2" t="s">
        <v>42</v>
      </c>
      <c r="G205" s="2" t="s">
        <v>50</v>
      </c>
      <c r="AC205">
        <f>SUM(Evento_Real[[#This Row],[10deMay]:[Clima]])</f>
        <v>0</v>
      </c>
    </row>
    <row r="206" spans="1:29" hidden="1" x14ac:dyDescent="0.3">
      <c r="A206" s="8">
        <v>46347</v>
      </c>
      <c r="B206" s="5">
        <v>46342</v>
      </c>
      <c r="C206" s="5">
        <v>46356</v>
      </c>
      <c r="D206" s="6">
        <v>0</v>
      </c>
      <c r="E206" t="s">
        <v>19</v>
      </c>
      <c r="F206" s="2" t="s">
        <v>42</v>
      </c>
      <c r="G206" s="2" t="s">
        <v>50</v>
      </c>
      <c r="AC206">
        <f>SUM(Evento_Real[[#This Row],[10deMay]:[Clima]])</f>
        <v>0</v>
      </c>
    </row>
    <row r="207" spans="1:29" hidden="1" x14ac:dyDescent="0.3">
      <c r="A207" s="8">
        <v>46348</v>
      </c>
      <c r="B207" s="5">
        <v>46342</v>
      </c>
      <c r="C207" s="5">
        <v>46356</v>
      </c>
      <c r="D207" s="6">
        <v>0</v>
      </c>
      <c r="E207" t="s">
        <v>19</v>
      </c>
      <c r="F207" s="2" t="s">
        <v>42</v>
      </c>
      <c r="G207" s="2" t="s">
        <v>50</v>
      </c>
      <c r="AC207">
        <f>SUM(Evento_Real[[#This Row],[10deMay]:[Clima]])</f>
        <v>0</v>
      </c>
    </row>
    <row r="208" spans="1:29" hidden="1" x14ac:dyDescent="0.3">
      <c r="A208" s="8">
        <v>46349</v>
      </c>
      <c r="B208" s="5">
        <v>46342</v>
      </c>
      <c r="C208" s="5">
        <v>46356</v>
      </c>
      <c r="D208" s="6">
        <v>0</v>
      </c>
      <c r="E208" t="s">
        <v>19</v>
      </c>
      <c r="F208" s="2" t="s">
        <v>42</v>
      </c>
      <c r="G208" s="2" t="s">
        <v>50</v>
      </c>
      <c r="AC208">
        <f>SUM(Evento_Real[[#This Row],[10deMay]:[Clima]])</f>
        <v>0</v>
      </c>
    </row>
    <row r="209" spans="1:29" hidden="1" x14ac:dyDescent="0.3">
      <c r="A209" s="8">
        <v>46350</v>
      </c>
      <c r="B209" s="5">
        <v>46342</v>
      </c>
      <c r="C209" s="5">
        <v>46356</v>
      </c>
      <c r="D209" s="6">
        <v>0</v>
      </c>
      <c r="E209" t="s">
        <v>19</v>
      </c>
      <c r="F209" s="2" t="s">
        <v>42</v>
      </c>
      <c r="G209" s="2" t="s">
        <v>50</v>
      </c>
      <c r="AC209">
        <f>SUM(Evento_Real[[#This Row],[10deMay]:[Clima]])</f>
        <v>0</v>
      </c>
    </row>
    <row r="210" spans="1:29" hidden="1" x14ac:dyDescent="0.3">
      <c r="A210" s="8">
        <v>46351</v>
      </c>
      <c r="B210" s="5">
        <v>46342</v>
      </c>
      <c r="C210" s="5">
        <v>46356</v>
      </c>
      <c r="D210" s="6">
        <v>0</v>
      </c>
      <c r="E210" t="s">
        <v>19</v>
      </c>
      <c r="F210" s="2" t="s">
        <v>42</v>
      </c>
      <c r="G210" s="2" t="s">
        <v>50</v>
      </c>
      <c r="AC210">
        <f>SUM(Evento_Real[[#This Row],[10deMay]:[Clima]])</f>
        <v>0</v>
      </c>
    </row>
    <row r="211" spans="1:29" hidden="1" x14ac:dyDescent="0.3">
      <c r="A211" s="8">
        <v>46352</v>
      </c>
      <c r="B211" s="5">
        <v>46342</v>
      </c>
      <c r="C211" s="5">
        <v>46356</v>
      </c>
      <c r="D211" s="6">
        <v>0</v>
      </c>
      <c r="E211" t="s">
        <v>19</v>
      </c>
      <c r="F211" s="2" t="s">
        <v>42</v>
      </c>
      <c r="G211" s="2" t="s">
        <v>50</v>
      </c>
      <c r="AC211">
        <f>SUM(Evento_Real[[#This Row],[10deMay]:[Clima]])</f>
        <v>0</v>
      </c>
    </row>
    <row r="212" spans="1:29" hidden="1" x14ac:dyDescent="0.3">
      <c r="A212" s="8">
        <v>46353</v>
      </c>
      <c r="B212" s="5">
        <v>46342</v>
      </c>
      <c r="C212" s="5">
        <v>46356</v>
      </c>
      <c r="D212" s="6">
        <v>0</v>
      </c>
      <c r="E212" t="s">
        <v>19</v>
      </c>
      <c r="F212" s="2" t="s">
        <v>42</v>
      </c>
      <c r="G212" s="2" t="s">
        <v>50</v>
      </c>
      <c r="AC212">
        <f>SUM(Evento_Real[[#This Row],[10deMay]:[Clima]])</f>
        <v>0</v>
      </c>
    </row>
    <row r="213" spans="1:29" hidden="1" x14ac:dyDescent="0.3">
      <c r="A213" s="8">
        <v>46354</v>
      </c>
      <c r="B213" s="5">
        <v>46342</v>
      </c>
      <c r="C213" s="5">
        <v>46356</v>
      </c>
      <c r="D213" s="6">
        <v>0</v>
      </c>
      <c r="E213" t="s">
        <v>19</v>
      </c>
      <c r="F213" s="2" t="s">
        <v>42</v>
      </c>
      <c r="G213" s="2" t="s">
        <v>50</v>
      </c>
      <c r="AC213">
        <f>SUM(Evento_Real[[#This Row],[10deMay]:[Clima]])</f>
        <v>0</v>
      </c>
    </row>
    <row r="214" spans="1:29" hidden="1" x14ac:dyDescent="0.3">
      <c r="A214" s="8">
        <v>46355</v>
      </c>
      <c r="B214" s="5">
        <v>46342</v>
      </c>
      <c r="C214" s="5">
        <v>46356</v>
      </c>
      <c r="D214" s="6">
        <v>0</v>
      </c>
      <c r="E214" t="s">
        <v>19</v>
      </c>
      <c r="F214" s="2" t="s">
        <v>42</v>
      </c>
      <c r="G214" s="2" t="s">
        <v>50</v>
      </c>
      <c r="AC214">
        <f>SUM(Evento_Real[[#This Row],[10deMay]:[Clima]])</f>
        <v>0</v>
      </c>
    </row>
    <row r="215" spans="1:29" hidden="1" x14ac:dyDescent="0.3">
      <c r="A215" s="8">
        <v>46356</v>
      </c>
      <c r="B215" s="5">
        <v>46342</v>
      </c>
      <c r="C215" s="5">
        <v>46356</v>
      </c>
      <c r="D215" s="6">
        <v>0</v>
      </c>
      <c r="E215" t="s">
        <v>19</v>
      </c>
      <c r="F215" s="2" t="s">
        <v>42</v>
      </c>
      <c r="G215" s="2" t="s">
        <v>50</v>
      </c>
      <c r="AC215">
        <f>SUM(Evento_Real[[#This Row],[10deMay]:[Clima]])</f>
        <v>0</v>
      </c>
    </row>
    <row r="216" spans="1:29" x14ac:dyDescent="0.3">
      <c r="A216" s="8">
        <v>46357</v>
      </c>
      <c r="B216" s="5">
        <v>46357</v>
      </c>
      <c r="C216" s="5">
        <v>46371</v>
      </c>
      <c r="D216" s="6">
        <v>1</v>
      </c>
      <c r="E216" t="s">
        <v>20</v>
      </c>
      <c r="F216" s="2" t="s">
        <v>42</v>
      </c>
      <c r="G216" s="2" t="s">
        <v>50</v>
      </c>
      <c r="M216">
        <v>5000</v>
      </c>
      <c r="AC216">
        <f>SUM(Evento_Real[[#This Row],[10deMay]:[Clima]])</f>
        <v>5000</v>
      </c>
    </row>
    <row r="217" spans="1:29" hidden="1" x14ac:dyDescent="0.3">
      <c r="A217" s="8">
        <v>46358</v>
      </c>
      <c r="B217" s="5">
        <v>46357</v>
      </c>
      <c r="C217" s="5">
        <v>46371</v>
      </c>
      <c r="D217" s="6">
        <v>0</v>
      </c>
      <c r="E217" t="s">
        <v>20</v>
      </c>
      <c r="F217" s="2" t="s">
        <v>42</v>
      </c>
      <c r="G217" s="2" t="s">
        <v>50</v>
      </c>
      <c r="AC217">
        <f>SUM(Evento_Real[[#This Row],[10deMay]:[Clima]])</f>
        <v>0</v>
      </c>
    </row>
    <row r="218" spans="1:29" hidden="1" x14ac:dyDescent="0.3">
      <c r="A218" s="8">
        <v>46359</v>
      </c>
      <c r="B218" s="5">
        <v>46357</v>
      </c>
      <c r="C218" s="5">
        <v>46371</v>
      </c>
      <c r="D218" s="6">
        <v>0</v>
      </c>
      <c r="E218" t="s">
        <v>20</v>
      </c>
      <c r="F218" s="2" t="s">
        <v>42</v>
      </c>
      <c r="G218" s="2" t="s">
        <v>50</v>
      </c>
      <c r="AC218">
        <f>SUM(Evento_Real[[#This Row],[10deMay]:[Clima]])</f>
        <v>0</v>
      </c>
    </row>
    <row r="219" spans="1:29" hidden="1" x14ac:dyDescent="0.3">
      <c r="A219" s="8">
        <v>46360</v>
      </c>
      <c r="B219" s="5">
        <v>46357</v>
      </c>
      <c r="C219" s="5">
        <v>46371</v>
      </c>
      <c r="D219" s="6">
        <v>0</v>
      </c>
      <c r="E219" t="s">
        <v>20</v>
      </c>
      <c r="F219" s="2" t="s">
        <v>42</v>
      </c>
      <c r="G219" s="2" t="s">
        <v>50</v>
      </c>
      <c r="AC219">
        <f>SUM(Evento_Real[[#This Row],[10deMay]:[Clima]])</f>
        <v>0</v>
      </c>
    </row>
    <row r="220" spans="1:29" hidden="1" x14ac:dyDescent="0.3">
      <c r="A220" s="8">
        <v>46361</v>
      </c>
      <c r="B220" s="5">
        <v>46357</v>
      </c>
      <c r="C220" s="5">
        <v>46371</v>
      </c>
      <c r="D220" s="6">
        <v>0</v>
      </c>
      <c r="E220" t="s">
        <v>20</v>
      </c>
      <c r="F220" s="2" t="s">
        <v>42</v>
      </c>
      <c r="G220" s="2" t="s">
        <v>50</v>
      </c>
      <c r="AC220">
        <f>SUM(Evento_Real[[#This Row],[10deMay]:[Clima]])</f>
        <v>0</v>
      </c>
    </row>
    <row r="221" spans="1:29" hidden="1" x14ac:dyDescent="0.3">
      <c r="A221" s="8">
        <v>46362</v>
      </c>
      <c r="B221" s="5">
        <v>46357</v>
      </c>
      <c r="C221" s="5">
        <v>46371</v>
      </c>
      <c r="D221" s="6">
        <v>0</v>
      </c>
      <c r="E221" t="s">
        <v>20</v>
      </c>
      <c r="F221" s="2" t="s">
        <v>42</v>
      </c>
      <c r="G221" s="2" t="s">
        <v>50</v>
      </c>
      <c r="AC221">
        <f>SUM(Evento_Real[[#This Row],[10deMay]:[Clima]])</f>
        <v>0</v>
      </c>
    </row>
    <row r="222" spans="1:29" hidden="1" x14ac:dyDescent="0.3">
      <c r="A222" s="8">
        <v>46363</v>
      </c>
      <c r="B222" s="5">
        <v>46357</v>
      </c>
      <c r="C222" s="5">
        <v>46371</v>
      </c>
      <c r="D222" s="6">
        <v>0</v>
      </c>
      <c r="E222" t="s">
        <v>20</v>
      </c>
      <c r="F222" s="2" t="s">
        <v>42</v>
      </c>
      <c r="G222" s="2" t="s">
        <v>50</v>
      </c>
      <c r="AC222">
        <f>SUM(Evento_Real[[#This Row],[10deMay]:[Clima]])</f>
        <v>0</v>
      </c>
    </row>
    <row r="223" spans="1:29" hidden="1" x14ac:dyDescent="0.3">
      <c r="A223" s="8">
        <v>46364</v>
      </c>
      <c r="B223" s="5">
        <v>46357</v>
      </c>
      <c r="C223" s="5">
        <v>46371</v>
      </c>
      <c r="D223" s="6">
        <v>0</v>
      </c>
      <c r="E223" t="s">
        <v>20</v>
      </c>
      <c r="F223" s="2" t="s">
        <v>42</v>
      </c>
      <c r="G223" s="2" t="s">
        <v>50</v>
      </c>
      <c r="AC223">
        <f>SUM(Evento_Real[[#This Row],[10deMay]:[Clima]])</f>
        <v>0</v>
      </c>
    </row>
    <row r="224" spans="1:29" hidden="1" x14ac:dyDescent="0.3">
      <c r="A224" s="8">
        <v>46365</v>
      </c>
      <c r="B224" s="5">
        <v>46357</v>
      </c>
      <c r="C224" s="5">
        <v>46371</v>
      </c>
      <c r="D224" s="6">
        <v>0</v>
      </c>
      <c r="E224" t="s">
        <v>20</v>
      </c>
      <c r="F224" s="2" t="s">
        <v>42</v>
      </c>
      <c r="G224" s="2" t="s">
        <v>50</v>
      </c>
      <c r="AC224">
        <f>SUM(Evento_Real[[#This Row],[10deMay]:[Clima]])</f>
        <v>0</v>
      </c>
    </row>
    <row r="225" spans="1:29" hidden="1" x14ac:dyDescent="0.3">
      <c r="A225" s="8">
        <v>46366</v>
      </c>
      <c r="B225" s="5">
        <v>46357</v>
      </c>
      <c r="C225" s="5">
        <v>46371</v>
      </c>
      <c r="D225" s="6">
        <v>0</v>
      </c>
      <c r="E225" t="s">
        <v>20</v>
      </c>
      <c r="F225" s="2" t="s">
        <v>42</v>
      </c>
      <c r="G225" s="2" t="s">
        <v>50</v>
      </c>
      <c r="AC225">
        <f>SUM(Evento_Real[[#This Row],[10deMay]:[Clima]])</f>
        <v>0</v>
      </c>
    </row>
    <row r="226" spans="1:29" hidden="1" x14ac:dyDescent="0.3">
      <c r="A226" s="8">
        <v>46367</v>
      </c>
      <c r="B226" s="5">
        <v>46357</v>
      </c>
      <c r="C226" s="5">
        <v>46371</v>
      </c>
      <c r="D226" s="6">
        <v>0</v>
      </c>
      <c r="E226" t="s">
        <v>20</v>
      </c>
      <c r="F226" s="2" t="s">
        <v>42</v>
      </c>
      <c r="G226" s="2" t="s">
        <v>50</v>
      </c>
      <c r="AC226">
        <f>SUM(Evento_Real[[#This Row],[10deMay]:[Clima]])</f>
        <v>0</v>
      </c>
    </row>
    <row r="227" spans="1:29" hidden="1" x14ac:dyDescent="0.3">
      <c r="A227" s="8">
        <v>46368</v>
      </c>
      <c r="B227" s="5">
        <v>46357</v>
      </c>
      <c r="C227" s="5">
        <v>46371</v>
      </c>
      <c r="D227" s="6">
        <v>0</v>
      </c>
      <c r="E227" t="s">
        <v>20</v>
      </c>
      <c r="F227" s="2" t="s">
        <v>42</v>
      </c>
      <c r="G227" s="2" t="s">
        <v>50</v>
      </c>
      <c r="AC227">
        <f>SUM(Evento_Real[[#This Row],[10deMay]:[Clima]])</f>
        <v>0</v>
      </c>
    </row>
    <row r="228" spans="1:29" hidden="1" x14ac:dyDescent="0.3">
      <c r="A228" s="8">
        <v>46369</v>
      </c>
      <c r="B228" s="5">
        <v>46357</v>
      </c>
      <c r="C228" s="5">
        <v>46371</v>
      </c>
      <c r="D228" s="6">
        <v>0</v>
      </c>
      <c r="E228" t="s">
        <v>20</v>
      </c>
      <c r="F228" s="2" t="s">
        <v>42</v>
      </c>
      <c r="G228" s="2" t="s">
        <v>50</v>
      </c>
      <c r="AC228">
        <f>SUM(Evento_Real[[#This Row],[10deMay]:[Clima]])</f>
        <v>0</v>
      </c>
    </row>
    <row r="229" spans="1:29" hidden="1" x14ac:dyDescent="0.3">
      <c r="A229" s="8">
        <v>46370</v>
      </c>
      <c r="B229" s="5">
        <v>46357</v>
      </c>
      <c r="C229" s="5">
        <v>46371</v>
      </c>
      <c r="D229" s="6">
        <v>0</v>
      </c>
      <c r="E229" t="s">
        <v>20</v>
      </c>
      <c r="F229" s="2" t="s">
        <v>42</v>
      </c>
      <c r="G229" s="2" t="s">
        <v>50</v>
      </c>
      <c r="AC229">
        <f>SUM(Evento_Real[[#This Row],[10deMay]:[Clima]])</f>
        <v>0</v>
      </c>
    </row>
    <row r="230" spans="1:29" hidden="1" x14ac:dyDescent="0.3">
      <c r="A230" s="8">
        <v>46371</v>
      </c>
      <c r="B230" s="5">
        <v>46357</v>
      </c>
      <c r="C230" s="5">
        <v>46371</v>
      </c>
      <c r="D230" s="6">
        <v>0</v>
      </c>
      <c r="E230" t="s">
        <v>20</v>
      </c>
      <c r="F230" s="2" t="s">
        <v>42</v>
      </c>
      <c r="G230" s="2" t="s">
        <v>50</v>
      </c>
      <c r="AC230">
        <f>SUM(Evento_Real[[#This Row],[10deMay]:[Clima]])</f>
        <v>0</v>
      </c>
    </row>
    <row r="231" spans="1:29" x14ac:dyDescent="0.3">
      <c r="A231" s="8">
        <v>46372</v>
      </c>
      <c r="B231" s="5">
        <v>46372</v>
      </c>
      <c r="C231" s="5">
        <v>46143</v>
      </c>
      <c r="D231" s="6">
        <v>1</v>
      </c>
      <c r="E231" t="s">
        <v>21</v>
      </c>
      <c r="F231" s="2" t="s">
        <v>42</v>
      </c>
      <c r="G231" s="2" t="s">
        <v>50</v>
      </c>
      <c r="M231">
        <v>5000</v>
      </c>
      <c r="AC231">
        <f>SUM(Evento_Real[[#This Row],[10deMay]:[Clima]])</f>
        <v>5000</v>
      </c>
    </row>
    <row r="232" spans="1:29" hidden="1" x14ac:dyDescent="0.3">
      <c r="A232" s="8">
        <v>46373</v>
      </c>
      <c r="B232" s="5">
        <v>46372</v>
      </c>
      <c r="C232" s="5">
        <v>46143</v>
      </c>
      <c r="D232" s="6">
        <v>0</v>
      </c>
      <c r="E232" t="s">
        <v>21</v>
      </c>
      <c r="F232" s="2" t="s">
        <v>42</v>
      </c>
      <c r="G232" s="2" t="s">
        <v>50</v>
      </c>
      <c r="AC232">
        <f>SUM(Evento_Real[[#This Row],[10deMay]:[Clima]])</f>
        <v>0</v>
      </c>
    </row>
    <row r="233" spans="1:29" hidden="1" x14ac:dyDescent="0.3">
      <c r="A233" s="8">
        <v>46374</v>
      </c>
      <c r="B233" s="5">
        <v>46372</v>
      </c>
      <c r="C233" s="5">
        <v>46143</v>
      </c>
      <c r="D233" s="6">
        <v>0</v>
      </c>
      <c r="E233" t="s">
        <v>21</v>
      </c>
      <c r="F233" s="2" t="s">
        <v>42</v>
      </c>
      <c r="G233" s="2" t="s">
        <v>50</v>
      </c>
      <c r="AC233">
        <f>SUM(Evento_Real[[#This Row],[10deMay]:[Clima]])</f>
        <v>0</v>
      </c>
    </row>
    <row r="234" spans="1:29" hidden="1" x14ac:dyDescent="0.3">
      <c r="A234" s="8">
        <v>46375</v>
      </c>
      <c r="B234" s="5">
        <v>46372</v>
      </c>
      <c r="C234" s="5">
        <v>46143</v>
      </c>
      <c r="D234" s="6">
        <v>0</v>
      </c>
      <c r="E234" t="s">
        <v>21</v>
      </c>
      <c r="F234" s="2" t="s">
        <v>42</v>
      </c>
      <c r="G234" s="2" t="s">
        <v>50</v>
      </c>
      <c r="AC234">
        <f>SUM(Evento_Real[[#This Row],[10deMay]:[Clima]])</f>
        <v>0</v>
      </c>
    </row>
    <row r="235" spans="1:29" x14ac:dyDescent="0.3">
      <c r="A235" s="8">
        <v>46376</v>
      </c>
      <c r="B235" s="5">
        <v>46376</v>
      </c>
      <c r="C235" s="5">
        <v>46376</v>
      </c>
      <c r="D235" s="6">
        <v>1</v>
      </c>
      <c r="E235" t="s">
        <v>55</v>
      </c>
      <c r="F235" s="2" t="s">
        <v>42</v>
      </c>
      <c r="G235" s="2" t="s">
        <v>50</v>
      </c>
      <c r="AC235">
        <f>SUM(Evento_Real[[#This Row],[10deMay]:[Clima]])</f>
        <v>0</v>
      </c>
    </row>
    <row r="236" spans="1:29" hidden="1" x14ac:dyDescent="0.3">
      <c r="A236" s="8">
        <v>46377</v>
      </c>
      <c r="B236" s="5">
        <v>46372</v>
      </c>
      <c r="C236" s="5">
        <v>46143</v>
      </c>
      <c r="D236" s="6">
        <v>0</v>
      </c>
      <c r="E236" t="s">
        <v>21</v>
      </c>
      <c r="F236" s="2" t="s">
        <v>42</v>
      </c>
      <c r="G236" s="2" t="s">
        <v>50</v>
      </c>
      <c r="AC236">
        <f>SUM(Evento_Real[[#This Row],[10deMay]:[Sala]])</f>
        <v>0</v>
      </c>
    </row>
    <row r="237" spans="1:29" hidden="1" x14ac:dyDescent="0.3">
      <c r="A237" s="8">
        <v>46378</v>
      </c>
      <c r="B237" s="5">
        <v>46372</v>
      </c>
      <c r="C237" s="5">
        <v>46143</v>
      </c>
      <c r="D237" s="6">
        <v>0</v>
      </c>
      <c r="E237" t="s">
        <v>21</v>
      </c>
      <c r="F237" s="2" t="s">
        <v>42</v>
      </c>
      <c r="G237" s="2" t="s">
        <v>50</v>
      </c>
      <c r="AC237">
        <f>SUM(Evento_Real[[#This Row],[10deMay]:[Sala]])</f>
        <v>0</v>
      </c>
    </row>
    <row r="238" spans="1:29" hidden="1" x14ac:dyDescent="0.3">
      <c r="A238" s="8">
        <v>46379</v>
      </c>
      <c r="B238" s="5">
        <v>46372</v>
      </c>
      <c r="C238" s="5">
        <v>46143</v>
      </c>
      <c r="D238" s="6">
        <v>0</v>
      </c>
      <c r="E238" t="s">
        <v>21</v>
      </c>
      <c r="F238" s="2" t="s">
        <v>42</v>
      </c>
      <c r="G238" s="2" t="s">
        <v>50</v>
      </c>
      <c r="AC238">
        <f>SUM(Evento_Real[[#This Row],[10deMay]:[Sala]])</f>
        <v>0</v>
      </c>
    </row>
    <row r="239" spans="1:29" hidden="1" x14ac:dyDescent="0.3">
      <c r="A239" s="8">
        <v>46380</v>
      </c>
      <c r="B239" s="5">
        <v>46372</v>
      </c>
      <c r="C239" s="5">
        <v>46143</v>
      </c>
      <c r="D239" s="6">
        <v>0</v>
      </c>
      <c r="E239" t="s">
        <v>21</v>
      </c>
      <c r="F239" s="2" t="s">
        <v>42</v>
      </c>
      <c r="G239" s="2" t="s">
        <v>50</v>
      </c>
      <c r="AC239">
        <f>SUM(Evento_Real[[#This Row],[10deMay]:[Sala]])</f>
        <v>0</v>
      </c>
    </row>
    <row r="240" spans="1:29" hidden="1" x14ac:dyDescent="0.3">
      <c r="A240" s="8">
        <v>46381</v>
      </c>
      <c r="B240" s="5">
        <v>46372</v>
      </c>
      <c r="C240" s="5">
        <v>46143</v>
      </c>
      <c r="D240" s="6">
        <v>0</v>
      </c>
      <c r="E240" t="s">
        <v>21</v>
      </c>
      <c r="F240" s="2" t="s">
        <v>42</v>
      </c>
      <c r="G240" s="2" t="s">
        <v>50</v>
      </c>
      <c r="AC240">
        <f>SUM(Evento_Real[[#This Row],[10deMay]:[Sala]])</f>
        <v>0</v>
      </c>
    </row>
    <row r="241" spans="1:29" hidden="1" x14ac:dyDescent="0.3">
      <c r="A241" s="8">
        <v>46382</v>
      </c>
      <c r="B241" s="5">
        <v>46372</v>
      </c>
      <c r="C241" s="5">
        <v>46143</v>
      </c>
      <c r="D241" s="6">
        <v>0</v>
      </c>
      <c r="E241" t="s">
        <v>21</v>
      </c>
      <c r="F241" s="2" t="s">
        <v>42</v>
      </c>
      <c r="G241" s="2" t="s">
        <v>50</v>
      </c>
      <c r="AC241">
        <f>SUM(Evento_Real[[#This Row],[10deMay]:[Sala]])</f>
        <v>0</v>
      </c>
    </row>
    <row r="242" spans="1:29" hidden="1" x14ac:dyDescent="0.3">
      <c r="A242" s="8">
        <v>46383</v>
      </c>
      <c r="B242" s="5">
        <v>46372</v>
      </c>
      <c r="C242" s="5">
        <v>46143</v>
      </c>
      <c r="D242" s="6">
        <v>0</v>
      </c>
      <c r="E242" t="s">
        <v>21</v>
      </c>
      <c r="F242" s="2" t="s">
        <v>42</v>
      </c>
      <c r="G242" s="2" t="s">
        <v>50</v>
      </c>
      <c r="AC242">
        <f>SUM(Evento_Real[[#This Row],[10deMay]:[Sala]])</f>
        <v>0</v>
      </c>
    </row>
    <row r="243" spans="1:29" hidden="1" x14ac:dyDescent="0.3">
      <c r="A243" s="8">
        <v>46384</v>
      </c>
      <c r="B243" s="5">
        <v>46372</v>
      </c>
      <c r="C243" s="5">
        <v>46143</v>
      </c>
      <c r="D243" s="6">
        <v>0</v>
      </c>
      <c r="E243" t="s">
        <v>21</v>
      </c>
      <c r="F243" s="2" t="s">
        <v>42</v>
      </c>
      <c r="G243" s="2" t="s">
        <v>50</v>
      </c>
      <c r="AC243">
        <f>SUM(Evento_Real[[#This Row],[10deMay]:[Sala]])</f>
        <v>0</v>
      </c>
    </row>
    <row r="244" spans="1:29" hidden="1" x14ac:dyDescent="0.3">
      <c r="A244" s="8">
        <v>46385</v>
      </c>
      <c r="B244" s="5">
        <v>46372</v>
      </c>
      <c r="C244" s="5">
        <v>46143</v>
      </c>
      <c r="D244" s="6">
        <v>0</v>
      </c>
      <c r="E244" t="s">
        <v>21</v>
      </c>
      <c r="F244" s="2" t="s">
        <v>42</v>
      </c>
      <c r="G244" s="2" t="s">
        <v>50</v>
      </c>
      <c r="AC244">
        <f>SUM(Evento_Real[[#This Row],[10deMay]:[Sala]])</f>
        <v>0</v>
      </c>
    </row>
    <row r="245" spans="1:29" hidden="1" x14ac:dyDescent="0.3">
      <c r="A245" s="8">
        <v>46386</v>
      </c>
      <c r="B245" s="5">
        <v>46372</v>
      </c>
      <c r="C245" s="5">
        <v>46143</v>
      </c>
      <c r="D245" s="6">
        <v>0</v>
      </c>
      <c r="E245" t="s">
        <v>21</v>
      </c>
      <c r="F245" s="2" t="s">
        <v>42</v>
      </c>
      <c r="G245" s="2" t="s">
        <v>50</v>
      </c>
      <c r="AC245">
        <f>SUM(Evento_Real[[#This Row],[10deMay]:[Sala]])</f>
        <v>0</v>
      </c>
    </row>
    <row r="246" spans="1:29" hidden="1" x14ac:dyDescent="0.3">
      <c r="A246" s="8">
        <v>46387</v>
      </c>
      <c r="B246" s="5">
        <v>46372</v>
      </c>
      <c r="C246" s="5">
        <v>46143</v>
      </c>
      <c r="D246" s="6">
        <v>0</v>
      </c>
      <c r="E246" t="s">
        <v>21</v>
      </c>
      <c r="F246" s="2" t="s">
        <v>42</v>
      </c>
      <c r="G246" s="2" t="s">
        <v>50</v>
      </c>
      <c r="AC246">
        <f>SUM(Evento_Real[[#This Row],[10deMay]:[Sala]])</f>
        <v>0</v>
      </c>
    </row>
    <row r="247" spans="1:29" x14ac:dyDescent="0.3">
      <c r="A247" s="8"/>
    </row>
  </sheetData>
  <conditionalFormatting sqref="A2:A247">
    <cfRule type="expression" dxfId="3" priority="1">
      <formula>TODAY() = A2</formula>
    </cfRule>
    <cfRule type="expression" dxfId="2" priority="2">
      <formula>WEEKDAY(A2)=1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8007-97D2-4EE8-825A-D40758AD158E}">
  <sheetPr codeName="Hoja5"/>
  <dimension ref="A1:J3"/>
  <sheetViews>
    <sheetView workbookViewId="0">
      <selection activeCell="B3" sqref="B3"/>
    </sheetView>
  </sheetViews>
  <sheetFormatPr baseColWidth="10" defaultRowHeight="14.4" x14ac:dyDescent="0.3"/>
  <cols>
    <col min="1" max="1" width="12.88671875" bestFit="1" customWidth="1"/>
    <col min="2" max="2" width="9.21875" bestFit="1" customWidth="1"/>
    <col min="3" max="4" width="5.5546875" customWidth="1"/>
    <col min="5" max="7" width="6" bestFit="1" customWidth="1"/>
    <col min="8" max="8" width="8" bestFit="1" customWidth="1"/>
    <col min="9" max="10" width="6" bestFit="1" customWidth="1"/>
  </cols>
  <sheetData>
    <row r="1" spans="1:10" ht="69.599999999999994" x14ac:dyDescent="0.3">
      <c r="A1" t="s">
        <v>59</v>
      </c>
      <c r="B1" s="4" t="s">
        <v>36</v>
      </c>
      <c r="C1" s="3" t="s">
        <v>37</v>
      </c>
      <c r="D1" s="3" t="s">
        <v>38</v>
      </c>
      <c r="E1" s="3" t="s">
        <v>53</v>
      </c>
      <c r="F1" s="3" t="s">
        <v>52</v>
      </c>
      <c r="G1" s="3" t="s">
        <v>39</v>
      </c>
      <c r="H1" s="3" t="s">
        <v>40</v>
      </c>
      <c r="I1" s="3" t="s">
        <v>47</v>
      </c>
      <c r="J1" s="3" t="s">
        <v>48</v>
      </c>
    </row>
    <row r="2" spans="1:10" x14ac:dyDescent="0.3">
      <c r="A2" t="s">
        <v>60</v>
      </c>
      <c r="B2" s="9">
        <v>1400</v>
      </c>
      <c r="C2" s="9">
        <v>5300</v>
      </c>
      <c r="D2" s="9">
        <v>1500</v>
      </c>
      <c r="E2" s="9">
        <v>25000</v>
      </c>
      <c r="F2" s="9">
        <v>14700</v>
      </c>
      <c r="G2" s="9">
        <v>25000</v>
      </c>
      <c r="H2" s="9">
        <v>5500</v>
      </c>
      <c r="I2" s="9">
        <v>0</v>
      </c>
      <c r="J2" s="9">
        <v>20000</v>
      </c>
    </row>
    <row r="3" spans="1:10" x14ac:dyDescent="0.3">
      <c r="A3" t="s">
        <v>50</v>
      </c>
      <c r="B3" s="9">
        <f>SUM('Evento R'!H:H)</f>
        <v>2400</v>
      </c>
      <c r="C3" s="9">
        <f>SUM('Evento R'!I:I)</f>
        <v>2500</v>
      </c>
      <c r="D3" s="9">
        <f>SUM('Evento R'!J:J)</f>
        <v>0</v>
      </c>
      <c r="E3" s="9">
        <f>SUM('Evento R'!K:K)</f>
        <v>30000</v>
      </c>
      <c r="F3" s="9">
        <f>SUM('Evento R'!L:L)</f>
        <v>12200</v>
      </c>
      <c r="G3" s="9">
        <f>SUM('Evento R'!M:M)</f>
        <v>15000</v>
      </c>
      <c r="H3" s="9">
        <f>SUM('Evento R'!N:N)</f>
        <v>12690</v>
      </c>
      <c r="I3" s="9">
        <f>SUM('Evento R'!O:O)</f>
        <v>0</v>
      </c>
      <c r="J3" s="9">
        <f>SUM('Evento R'!P:P)</f>
        <v>20000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32E5-3E13-4021-992E-BAF95F4B2FD6}">
  <sheetPr codeName="Hoja6"/>
  <dimension ref="A1:AX17"/>
  <sheetViews>
    <sheetView tabSelected="1" topLeftCell="AD1" workbookViewId="0">
      <selection activeCell="AV4" sqref="AV4"/>
    </sheetView>
  </sheetViews>
  <sheetFormatPr baseColWidth="10" defaultRowHeight="14.4" outlineLevelCol="1" x14ac:dyDescent="0.3"/>
  <cols>
    <col min="1" max="3" width="10.33203125" bestFit="1" customWidth="1"/>
    <col min="4" max="4" width="4.77734375" bestFit="1" customWidth="1"/>
    <col min="5" max="5" width="5.88671875" bestFit="1" customWidth="1"/>
    <col min="6" max="6" width="9" bestFit="1" customWidth="1"/>
    <col min="7" max="7" width="6" bestFit="1" customWidth="1"/>
    <col min="8" max="8" width="7" hidden="1" customWidth="1" outlineLevel="1"/>
    <col min="9" max="10" width="4" hidden="1" customWidth="1" outlineLevel="1"/>
    <col min="11" max="11" width="4.21875" hidden="1" customWidth="1" outlineLevel="1"/>
    <col min="12" max="13" width="4" hidden="1" customWidth="1" outlineLevel="1"/>
    <col min="14" max="15" width="5" hidden="1" customWidth="1" outlineLevel="1"/>
    <col min="16" max="16" width="7" hidden="1" customWidth="1" outlineLevel="1"/>
    <col min="17" max="17" width="3.21875" hidden="1" customWidth="1" outlineLevel="1"/>
    <col min="18" max="20" width="4" hidden="1" customWidth="1" outlineLevel="1"/>
    <col min="21" max="21" width="8.44140625" customWidth="1" collapsed="1"/>
    <col min="22" max="22" width="4.5546875" customWidth="1" outlineLevel="1"/>
    <col min="23" max="23" width="5" customWidth="1" outlineLevel="1"/>
    <col min="24" max="24" width="2.88671875" customWidth="1" outlineLevel="1"/>
    <col min="25" max="28" width="5" customWidth="1" outlineLevel="1"/>
    <col min="29" max="29" width="3.21875" customWidth="1" outlineLevel="1"/>
    <col min="30" max="30" width="6" customWidth="1" outlineLevel="1"/>
    <col min="31" max="31" width="5" customWidth="1" outlineLevel="1"/>
    <col min="32" max="32" width="6.6640625" bestFit="1" customWidth="1"/>
    <col min="33" max="33" width="5.6640625" bestFit="1" customWidth="1"/>
    <col min="34" max="34" width="9" bestFit="1" customWidth="1"/>
    <col min="35" max="39" width="2.6640625" customWidth="1"/>
    <col min="40" max="40" width="5.6640625" bestFit="1" customWidth="1"/>
    <col min="41" max="41" width="6" bestFit="1" customWidth="1"/>
    <col min="42" max="42" width="5" bestFit="1" customWidth="1"/>
    <col min="43" max="43" width="6.109375" bestFit="1" customWidth="1"/>
    <col min="44" max="44" width="5.6640625" bestFit="1" customWidth="1"/>
    <col min="45" max="45" width="4.88671875" bestFit="1" customWidth="1"/>
    <col min="46" max="46" width="5.6640625" bestFit="1" customWidth="1"/>
    <col min="47" max="47" width="5" bestFit="1" customWidth="1"/>
    <col min="48" max="48" width="5.6640625" bestFit="1" customWidth="1"/>
    <col min="49" max="49" width="4.88671875" bestFit="1" customWidth="1"/>
    <col min="50" max="50" width="5.6640625" bestFit="1" customWidth="1"/>
  </cols>
  <sheetData>
    <row r="1" spans="1:50" x14ac:dyDescent="0.3">
      <c r="A1" s="2" t="s">
        <v>5</v>
      </c>
      <c r="B1" s="2" t="s">
        <v>58</v>
      </c>
      <c r="C1" s="2" t="s">
        <v>51</v>
      </c>
      <c r="D1" s="2" t="s">
        <v>56</v>
      </c>
      <c r="E1" s="2" t="s">
        <v>22</v>
      </c>
      <c r="F1" s="2" t="s">
        <v>80</v>
      </c>
      <c r="G1" s="2" t="s">
        <v>81</v>
      </c>
      <c r="H1" s="12" t="s">
        <v>92</v>
      </c>
      <c r="I1" s="12" t="s">
        <v>93</v>
      </c>
      <c r="J1" s="12" t="s">
        <v>94</v>
      </c>
      <c r="K1" s="12" t="s">
        <v>95</v>
      </c>
      <c r="L1" s="12" t="s">
        <v>96</v>
      </c>
      <c r="M1" s="12" t="s">
        <v>97</v>
      </c>
      <c r="N1" s="12" t="s">
        <v>98</v>
      </c>
      <c r="O1" s="12" t="s">
        <v>99</v>
      </c>
      <c r="P1" s="12" t="s">
        <v>100</v>
      </c>
      <c r="Q1" s="12" t="s">
        <v>101</v>
      </c>
      <c r="R1" s="12" t="s">
        <v>102</v>
      </c>
      <c r="S1" s="12" t="s">
        <v>103</v>
      </c>
      <c r="T1" s="12" t="s">
        <v>104</v>
      </c>
      <c r="U1" s="2" t="s">
        <v>84</v>
      </c>
      <c r="V1" s="13" t="s">
        <v>105</v>
      </c>
      <c r="W1" s="14" t="s">
        <v>106</v>
      </c>
      <c r="X1" s="14" t="s">
        <v>107</v>
      </c>
      <c r="Y1" s="14" t="s">
        <v>108</v>
      </c>
      <c r="Z1" s="14" t="s">
        <v>109</v>
      </c>
      <c r="AA1" s="14" t="s">
        <v>110</v>
      </c>
      <c r="AB1" s="14" t="s">
        <v>111</v>
      </c>
      <c r="AC1" s="14" t="s">
        <v>112</v>
      </c>
      <c r="AD1" s="14" t="s">
        <v>113</v>
      </c>
      <c r="AE1" s="14" t="s">
        <v>114</v>
      </c>
      <c r="AF1" s="2" t="s">
        <v>82</v>
      </c>
      <c r="AG1" s="2" t="s">
        <v>83</v>
      </c>
      <c r="AH1" s="2" t="s">
        <v>85</v>
      </c>
    </row>
    <row r="2" spans="1:50" x14ac:dyDescent="0.3">
      <c r="A2" s="8">
        <v>46158</v>
      </c>
      <c r="B2" s="5">
        <v>46158</v>
      </c>
      <c r="C2" s="5">
        <v>46173</v>
      </c>
      <c r="D2" s="6">
        <v>1</v>
      </c>
      <c r="E2" t="s">
        <v>7</v>
      </c>
      <c r="G2">
        <f>SUMIFS(Ingresos!H:H,Ingresos!A:A,Resumen!A2)+SUMIFS(Ingresos!I:I,Ingresos!A:A,Resumen!A2)+SUMIFS(Ingresos!K:K,Ingresos!A:A,Resumen!A2)+F2</f>
        <v>21000</v>
      </c>
      <c r="H2">
        <f>SUMIFS('Gasto Real'!H:H,'Gasto Real'!$E:$E,Resumen!$E2)</f>
        <v>551.84999999999991</v>
      </c>
      <c r="I2">
        <f>SUMIFS('Gasto Real'!I:I,'Gasto Real'!$E:$E,Resumen!$E2)</f>
        <v>446</v>
      </c>
      <c r="J2">
        <f>SUMIFS('Gasto Real'!J:J,'Gasto Real'!$E:$E,Resumen!$E2)</f>
        <v>899</v>
      </c>
      <c r="K2">
        <f>SUMIFS('Gasto Real'!K:K,'Gasto Real'!$E:$E,Resumen!$E2)</f>
        <v>239</v>
      </c>
      <c r="L2">
        <f>SUMIFS('Gasto Real'!L:L,'Gasto Real'!$E:$E,Resumen!$E2)</f>
        <v>139</v>
      </c>
      <c r="M2">
        <f>SUMIFS('Gasto Real'!M:M,'Gasto Real'!$E:$E,Resumen!$E2)</f>
        <v>0</v>
      </c>
      <c r="N2">
        <f>SUMIFS('Gasto Real'!N:N,'Gasto Real'!$E:$E,Resumen!$E2)</f>
        <v>0</v>
      </c>
      <c r="O2">
        <f>SUMIFS('Gasto Real'!O:O,'Gasto Real'!$E:$E,Resumen!$E2)</f>
        <v>3600</v>
      </c>
      <c r="P2">
        <f>SUMIFS('Gasto Real'!P:P,'Gasto Real'!$E:$E,Resumen!$E2)</f>
        <v>4065.1</v>
      </c>
      <c r="Q2">
        <f>SUMIFS('Gasto Real'!Q:Q,'Gasto Real'!$E:$E,Resumen!$E2)</f>
        <v>70</v>
      </c>
      <c r="R2">
        <f>SUMIFS('Gasto Real'!R:R,'Gasto Real'!$E:$E,Resumen!$E2)</f>
        <v>0</v>
      </c>
      <c r="S2">
        <f>SUMIFS('Gasto Real'!S:S,'Gasto Real'!$E:$E,Resumen!$E2)</f>
        <v>0</v>
      </c>
      <c r="T2">
        <f>SUMIFS('Gasto Real'!T:T,'Gasto Real'!$E:$E,Resumen!$E2)</f>
        <v>321</v>
      </c>
      <c r="U2">
        <f>SUM(H2:T2)*-1</f>
        <v>-10330.950000000001</v>
      </c>
      <c r="V2">
        <f>SUMIFS('Evento R'!H:H,'Evento R'!$E:$E,Resumen!$E2)</f>
        <v>0</v>
      </c>
      <c r="W2">
        <f>SUMIFS('Evento R'!I:I,'Evento R'!$E:$E,Resumen!$E2)</f>
        <v>0</v>
      </c>
      <c r="X2">
        <f>SUMIFS('Evento R'!J:J,'Evento R'!$E:$E,Resumen!$E2)</f>
        <v>0</v>
      </c>
      <c r="Y2">
        <f>SUMIFS('Evento R'!K:K,'Evento R'!$E:$E,Resumen!$E2)</f>
        <v>0</v>
      </c>
      <c r="Z2">
        <f>SUMIFS('Evento R'!L:L,'Evento R'!$E:$E,Resumen!$E2)</f>
        <v>8000</v>
      </c>
      <c r="AA2">
        <f>SUMIFS('Evento R'!M:M,'Evento R'!$E:$E,Resumen!$E2)</f>
        <v>0</v>
      </c>
      <c r="AB2">
        <f>SUMIFS('Evento R'!N:N,'Evento R'!$E:$E,Resumen!$E2)</f>
        <v>4250</v>
      </c>
      <c r="AC2">
        <f>SUMIFS('Evento R'!O:O,'Evento R'!$E:$E,Resumen!$E2)</f>
        <v>0</v>
      </c>
      <c r="AD2">
        <f>SUMIFS('Evento R'!P:P,'Evento R'!$E:$E,Resumen!$E2)</f>
        <v>0</v>
      </c>
      <c r="AE2">
        <f>SUMIFS('Evento R'!Q:Q,'Evento R'!$E:$E,Resumen!$E2)</f>
        <v>0</v>
      </c>
      <c r="AF2">
        <f>SUM(V2:AE2)*-1</f>
        <v>-12250</v>
      </c>
      <c r="AH2">
        <f>SUM(G2)+SUM(U2,AF2)</f>
        <v>-1580.9500000000007</v>
      </c>
    </row>
    <row r="3" spans="1:50" x14ac:dyDescent="0.3">
      <c r="A3" s="8">
        <v>46174</v>
      </c>
      <c r="B3" s="5">
        <v>46174</v>
      </c>
      <c r="C3" s="5">
        <v>46188</v>
      </c>
      <c r="D3" s="6">
        <v>1</v>
      </c>
      <c r="E3" t="s">
        <v>8</v>
      </c>
      <c r="F3">
        <f t="shared" ref="F3:F17" si="0">G3+AH2</f>
        <v>13419.05</v>
      </c>
      <c r="G3">
        <f>SUMIFS(Ingresos!H:H,Ingresos!A:A,Resumen!A3)+SUMIFS(Ingresos!I:I,Ingresos!A:A,Resumen!A3)+SUMIFS(Ingresos!K:K,Ingresos!A:A,Resumen!A3)</f>
        <v>15000</v>
      </c>
      <c r="H3">
        <f>SUMIFS('Gasto Real'!H:H,'Gasto Real'!$E:$E,Resumen!$E3)</f>
        <v>551.84999999999991</v>
      </c>
      <c r="I3">
        <f>SUMIFS('Gasto Real'!I:I,'Gasto Real'!$E:$E,Resumen!$E3)</f>
        <v>0</v>
      </c>
      <c r="J3">
        <f>SUMIFS('Gasto Real'!J:J,'Gasto Real'!$E:$E,Resumen!$E3)</f>
        <v>0</v>
      </c>
      <c r="K3">
        <f>SUMIFS('Gasto Real'!K:K,'Gasto Real'!$E:$E,Resumen!$E3)</f>
        <v>0</v>
      </c>
      <c r="L3">
        <f>SUMIFS('Gasto Real'!L:L,'Gasto Real'!$E:$E,Resumen!$E3)</f>
        <v>0</v>
      </c>
      <c r="M3">
        <f>SUMIFS('Gasto Real'!M:M,'Gasto Real'!$E:$E,Resumen!$E3)</f>
        <v>600</v>
      </c>
      <c r="N3">
        <f>SUMIFS('Gasto Real'!N:N,'Gasto Real'!$E:$E,Resumen!$E3)</f>
        <v>0</v>
      </c>
      <c r="O3">
        <f>SUMIFS('Gasto Real'!O:O,'Gasto Real'!$E:$E,Resumen!$E3)</f>
        <v>3600</v>
      </c>
      <c r="P3">
        <f>SUMIFS('Gasto Real'!P:P,'Gasto Real'!$E:$E,Resumen!$E3)</f>
        <v>0</v>
      </c>
      <c r="Q3">
        <f>SUMIFS('Gasto Real'!Q:Q,'Gasto Real'!$E:$E,Resumen!$E3)</f>
        <v>0</v>
      </c>
      <c r="R3">
        <f>SUMIFS('Gasto Real'!R:R,'Gasto Real'!$E:$E,Resumen!$E3)</f>
        <v>70</v>
      </c>
      <c r="S3">
        <f>SUMIFS('Gasto Real'!S:S,'Gasto Real'!$E:$E,Resumen!$E3)</f>
        <v>70</v>
      </c>
      <c r="T3">
        <f>SUMIFS('Gasto Real'!T:T,'Gasto Real'!$E:$E,Resumen!$E3)</f>
        <v>0</v>
      </c>
      <c r="U3">
        <f t="shared" ref="U3:U17" si="1">SUM(H3:T3)*-1</f>
        <v>-4891.8500000000004</v>
      </c>
      <c r="V3">
        <f>SUMIFS('Evento R'!H:H,'Evento R'!$E:$E,Resumen!$E3)</f>
        <v>0</v>
      </c>
      <c r="W3">
        <f>SUMIFS('Evento R'!I:I,'Evento R'!$E:$E,Resumen!$E3)</f>
        <v>0</v>
      </c>
      <c r="X3">
        <f>SUMIFS('Evento R'!J:J,'Evento R'!$E:$E,Resumen!$E3)</f>
        <v>0</v>
      </c>
      <c r="Y3">
        <f>SUMIFS('Evento R'!K:K,'Evento R'!$E:$E,Resumen!$E3)</f>
        <v>3000</v>
      </c>
      <c r="Z3">
        <f>SUMIFS('Evento R'!L:L,'Evento R'!$E:$E,Resumen!$E3)</f>
        <v>0</v>
      </c>
      <c r="AA3">
        <f>SUMIFS('Evento R'!M:M,'Evento R'!$E:$E,Resumen!$E3)</f>
        <v>0</v>
      </c>
      <c r="AB3">
        <f>SUMIFS('Evento R'!N:N,'Evento R'!$E:$E,Resumen!$E3)</f>
        <v>3750</v>
      </c>
      <c r="AC3">
        <f>SUMIFS('Evento R'!O:O,'Evento R'!$E:$E,Resumen!$E3)</f>
        <v>0</v>
      </c>
      <c r="AD3">
        <f>SUMIFS('Evento R'!P:P,'Evento R'!$E:$E,Resumen!$E3)</f>
        <v>0</v>
      </c>
      <c r="AE3">
        <f>SUMIFS('Evento R'!Q:Q,'Evento R'!$E:$E,Resumen!$E3)</f>
        <v>2800</v>
      </c>
      <c r="AF3">
        <f t="shared" ref="AF3:AF17" si="2">SUM(V3:AE3)*-1</f>
        <v>-9550</v>
      </c>
      <c r="AH3">
        <f>SUM(F3)+SUM(U3,AF3)</f>
        <v>-1022.8000000000011</v>
      </c>
    </row>
    <row r="4" spans="1:50" x14ac:dyDescent="0.3">
      <c r="A4" s="8">
        <v>46189</v>
      </c>
      <c r="B4" s="5">
        <v>46189</v>
      </c>
      <c r="C4" s="5">
        <v>46203</v>
      </c>
      <c r="D4" s="6">
        <v>1</v>
      </c>
      <c r="E4" t="s">
        <v>9</v>
      </c>
      <c r="F4">
        <f t="shared" si="0"/>
        <v>13977.199999999999</v>
      </c>
      <c r="G4">
        <f>SUMIFS(Ingresos!H:H,Ingresos!A:A,Resumen!A4)+SUMIFS(Ingresos!I:I,Ingresos!A:A,Resumen!A4)+SUMIFS(Ingresos!K:K,Ingresos!A:A,Resumen!A4)</f>
        <v>15000</v>
      </c>
      <c r="H4">
        <f>SUMIFS('Gasto Real'!H:H,'Gasto Real'!$E:$E,Resumen!$E4)</f>
        <v>551.84999999999991</v>
      </c>
      <c r="I4">
        <f>SUMIFS('Gasto Real'!I:I,'Gasto Real'!$E:$E,Resumen!$E4)</f>
        <v>450</v>
      </c>
      <c r="J4">
        <f>SUMIFS('Gasto Real'!J:J,'Gasto Real'!$E:$E,Resumen!$E4)</f>
        <v>0</v>
      </c>
      <c r="K4">
        <f>SUMIFS('Gasto Real'!K:K,'Gasto Real'!$E:$E,Resumen!$E4)</f>
        <v>239</v>
      </c>
      <c r="L4">
        <f>SUMIFS('Gasto Real'!L:L,'Gasto Real'!$E:$E,Resumen!$E4)</f>
        <v>139</v>
      </c>
      <c r="M4">
        <f>SUMIFS('Gasto Real'!M:M,'Gasto Real'!$E:$E,Resumen!$E4)</f>
        <v>0</v>
      </c>
      <c r="N4">
        <f>SUMIFS('Gasto Real'!N:N,'Gasto Real'!$E:$E,Resumen!$E4)</f>
        <v>0</v>
      </c>
      <c r="O4">
        <f>SUMIFS('Gasto Real'!O:O,'Gasto Real'!$E:$E,Resumen!$E4)</f>
        <v>3600</v>
      </c>
      <c r="P4">
        <f>SUMIFS('Gasto Real'!P:P,'Gasto Real'!$E:$E,Resumen!$E4)</f>
        <v>0</v>
      </c>
      <c r="Q4">
        <f>SUMIFS('Gasto Real'!Q:Q,'Gasto Real'!$E:$E,Resumen!$E4)</f>
        <v>70</v>
      </c>
      <c r="R4">
        <f>SUMIFS('Gasto Real'!R:R,'Gasto Real'!$E:$E,Resumen!$E4)</f>
        <v>0</v>
      </c>
      <c r="S4">
        <f>SUMIFS('Gasto Real'!S:S,'Gasto Real'!$E:$E,Resumen!$E4)</f>
        <v>0</v>
      </c>
      <c r="T4">
        <f>SUMIFS('Gasto Real'!T:T,'Gasto Real'!$E:$E,Resumen!$E4)</f>
        <v>321</v>
      </c>
      <c r="U4">
        <f>SUM(H4:T4)*-1</f>
        <v>-5370.85</v>
      </c>
      <c r="V4">
        <f>SUMIFS('Evento R'!H:H,'Evento R'!$E:$E,Resumen!$E4)</f>
        <v>0</v>
      </c>
      <c r="W4">
        <f>SUMIFS('Evento R'!I:I,'Evento R'!$E:$E,Resumen!$E4)</f>
        <v>0</v>
      </c>
      <c r="X4">
        <f>SUMIFS('Evento R'!J:J,'Evento R'!$E:$E,Resumen!$E4)</f>
        <v>0</v>
      </c>
      <c r="Y4">
        <f>SUMIFS('Evento R'!K:K,'Evento R'!$E:$E,Resumen!$E4)</f>
        <v>5000</v>
      </c>
      <c r="Z4">
        <f>SUMIFS('Evento R'!L:L,'Evento R'!$E:$E,Resumen!$E4)</f>
        <v>0</v>
      </c>
      <c r="AA4">
        <f>SUMIFS('Evento R'!M:M,'Evento R'!$E:$E,Resumen!$E4)</f>
        <v>0</v>
      </c>
      <c r="AB4">
        <f>SUMIFS('Evento R'!N:N,'Evento R'!$E:$E,Resumen!$E4)</f>
        <v>3750</v>
      </c>
      <c r="AC4">
        <f>SUMIFS('Evento R'!O:O,'Evento R'!$E:$E,Resumen!$E4)</f>
        <v>0</v>
      </c>
      <c r="AD4">
        <f>SUMIFS('Evento R'!P:P,'Evento R'!$E:$E,Resumen!$E4)</f>
        <v>0</v>
      </c>
      <c r="AE4">
        <f>SUMIFS('Evento R'!Q:Q,'Evento R'!$E:$E,Resumen!$E4)</f>
        <v>0</v>
      </c>
      <c r="AF4">
        <f t="shared" si="2"/>
        <v>-8750</v>
      </c>
      <c r="AH4">
        <f t="shared" ref="AH4:AH17" si="3">SUM(F4)+SUM(U4,AF4)</f>
        <v>-143.65000000000146</v>
      </c>
      <c r="AO4" t="s">
        <v>91</v>
      </c>
      <c r="AP4">
        <v>320</v>
      </c>
      <c r="AQ4" t="s">
        <v>90</v>
      </c>
      <c r="AR4">
        <f>SUM(AP4:AP10)</f>
        <v>2790</v>
      </c>
      <c r="AS4" t="s">
        <v>89</v>
      </c>
      <c r="AT4">
        <f>SUM(AR4:AR6)</f>
        <v>990</v>
      </c>
      <c r="AU4" t="s">
        <v>88</v>
      </c>
      <c r="AV4">
        <f>SUM(AT4:AT10)</f>
        <v>-1000</v>
      </c>
      <c r="AW4" t="s">
        <v>87</v>
      </c>
      <c r="AX4">
        <f>SUM(AV4:AV6)</f>
        <v>-1000</v>
      </c>
    </row>
    <row r="5" spans="1:50" x14ac:dyDescent="0.3">
      <c r="A5" s="8">
        <v>46204</v>
      </c>
      <c r="B5" s="5">
        <v>46204</v>
      </c>
      <c r="C5" s="5">
        <v>46218</v>
      </c>
      <c r="D5" s="6">
        <v>1</v>
      </c>
      <c r="E5" t="s">
        <v>10</v>
      </c>
      <c r="F5">
        <f t="shared" si="0"/>
        <v>14856.349999999999</v>
      </c>
      <c r="G5">
        <f>SUMIFS(Ingresos!H:H,Ingresos!A:A,Resumen!A5)+SUMIFS(Ingresos!I:I,Ingresos!A:A,Resumen!A5)+SUMIFS(Ingresos!K:K,Ingresos!A:A,Resumen!A5)</f>
        <v>15000</v>
      </c>
      <c r="H5">
        <f>SUMIFS('Gasto Real'!H:H,'Gasto Real'!$E:$E,Resumen!$E5)</f>
        <v>551.84999999999991</v>
      </c>
      <c r="I5">
        <f>SUMIFS('Gasto Real'!I:I,'Gasto Real'!$E:$E,Resumen!$E5)</f>
        <v>0</v>
      </c>
      <c r="J5">
        <f>SUMIFS('Gasto Real'!J:J,'Gasto Real'!$E:$E,Resumen!$E5)</f>
        <v>0</v>
      </c>
      <c r="K5">
        <f>SUMIFS('Gasto Real'!K:K,'Gasto Real'!$E:$E,Resumen!$E5)</f>
        <v>0</v>
      </c>
      <c r="L5">
        <f>SUMIFS('Gasto Real'!L:L,'Gasto Real'!$E:$E,Resumen!$E5)</f>
        <v>0</v>
      </c>
      <c r="M5">
        <f>SUMIFS('Gasto Real'!M:M,'Gasto Real'!$E:$E,Resumen!$E5)</f>
        <v>0</v>
      </c>
      <c r="N5">
        <f>SUMIFS('Gasto Real'!N:N,'Gasto Real'!$E:$E,Resumen!$E5)</f>
        <v>600</v>
      </c>
      <c r="O5">
        <f>SUMIFS('Gasto Real'!O:O,'Gasto Real'!$E:$E,Resumen!$E5)</f>
        <v>3600</v>
      </c>
      <c r="P5">
        <f>SUMIFS('Gasto Real'!P:P,'Gasto Real'!$E:$E,Resumen!$E5)</f>
        <v>0</v>
      </c>
      <c r="Q5">
        <f>SUMIFS('Gasto Real'!Q:Q,'Gasto Real'!$E:$E,Resumen!$E5)</f>
        <v>0</v>
      </c>
      <c r="R5">
        <f>SUMIFS('Gasto Real'!R:R,'Gasto Real'!$E:$E,Resumen!$E5)</f>
        <v>140</v>
      </c>
      <c r="S5">
        <f>SUMIFS('Gasto Real'!S:S,'Gasto Real'!$E:$E,Resumen!$E5)</f>
        <v>140</v>
      </c>
      <c r="T5">
        <f>SUMIFS('Gasto Real'!T:T,'Gasto Real'!$E:$E,Resumen!$E5)</f>
        <v>0</v>
      </c>
      <c r="U5">
        <f t="shared" si="1"/>
        <v>-5031.8500000000004</v>
      </c>
      <c r="V5">
        <f>SUMIFS('Evento R'!H:H,'Evento R'!$E:$E,Resumen!$E5)</f>
        <v>0</v>
      </c>
      <c r="W5">
        <f>SUMIFS('Evento R'!I:I,'Evento R'!$E:$E,Resumen!$E5)</f>
        <v>0</v>
      </c>
      <c r="X5">
        <f>SUMIFS('Evento R'!J:J,'Evento R'!$E:$E,Resumen!$E5)</f>
        <v>0</v>
      </c>
      <c r="Y5">
        <f>SUMIFS('Evento R'!K:K,'Evento R'!$E:$E,Resumen!$E5)</f>
        <v>5000</v>
      </c>
      <c r="Z5">
        <f>SUMIFS('Evento R'!L:L,'Evento R'!$E:$E,Resumen!$E5)</f>
        <v>0</v>
      </c>
      <c r="AA5">
        <f>SUMIFS('Evento R'!M:M,'Evento R'!$E:$E,Resumen!$E5)</f>
        <v>0</v>
      </c>
      <c r="AB5">
        <f>SUMIFS('Evento R'!N:N,'Evento R'!$E:$E,Resumen!$E5)</f>
        <v>0</v>
      </c>
      <c r="AC5">
        <f>SUMIFS('Evento R'!O:O,'Evento R'!$E:$E,Resumen!$E5)</f>
        <v>0</v>
      </c>
      <c r="AD5">
        <f>SUMIFS('Evento R'!P:P,'Evento R'!$E:$E,Resumen!$E5)</f>
        <v>0</v>
      </c>
      <c r="AE5">
        <f>SUMIFS('Evento R'!Q:Q,'Evento R'!$E:$E,Resumen!$E5)</f>
        <v>0</v>
      </c>
      <c r="AF5">
        <f t="shared" si="2"/>
        <v>-5000</v>
      </c>
      <c r="AH5">
        <f t="shared" si="3"/>
        <v>4824.4999999999982</v>
      </c>
      <c r="AO5" t="s">
        <v>115</v>
      </c>
      <c r="AP5">
        <v>470</v>
      </c>
      <c r="AQ5" t="s">
        <v>117</v>
      </c>
      <c r="AR5">
        <v>-1800</v>
      </c>
      <c r="AS5" t="s">
        <v>86</v>
      </c>
      <c r="AT5">
        <v>-1800</v>
      </c>
    </row>
    <row r="6" spans="1:50" x14ac:dyDescent="0.3">
      <c r="A6" s="8">
        <v>46219</v>
      </c>
      <c r="B6" s="5">
        <v>46219</v>
      </c>
      <c r="C6" s="5">
        <v>46234</v>
      </c>
      <c r="D6" s="6">
        <v>1</v>
      </c>
      <c r="E6" t="s">
        <v>11</v>
      </c>
      <c r="F6">
        <f t="shared" si="0"/>
        <v>19824.5</v>
      </c>
      <c r="G6">
        <f>SUMIFS(Ingresos!H:H,Ingresos!A:A,Resumen!A6)+SUMIFS(Ingresos!I:I,Ingresos!A:A,Resumen!A6)+SUMIFS(Ingresos!K:K,Ingresos!A:A,Resumen!A6)</f>
        <v>15000</v>
      </c>
      <c r="H6">
        <f>SUMIFS('Gasto Real'!H:H,'Gasto Real'!$E:$E,Resumen!$E6)</f>
        <v>594.29999999999995</v>
      </c>
      <c r="I6">
        <f>SUMIFS('Gasto Real'!I:I,'Gasto Real'!$E:$E,Resumen!$E6)</f>
        <v>450</v>
      </c>
      <c r="J6">
        <f>SUMIFS('Gasto Real'!J:J,'Gasto Real'!$E:$E,Resumen!$E6)</f>
        <v>449</v>
      </c>
      <c r="K6">
        <f>SUMIFS('Gasto Real'!K:K,'Gasto Real'!$E:$E,Resumen!$E6)</f>
        <v>239</v>
      </c>
      <c r="L6">
        <f>SUMIFS('Gasto Real'!L:L,'Gasto Real'!$E:$E,Resumen!$E6)</f>
        <v>139</v>
      </c>
      <c r="M6">
        <f>SUMIFS('Gasto Real'!M:M,'Gasto Real'!$E:$E,Resumen!$E6)</f>
        <v>0</v>
      </c>
      <c r="N6">
        <f>SUMIFS('Gasto Real'!N:N,'Gasto Real'!$E:$E,Resumen!$E6)</f>
        <v>0</v>
      </c>
      <c r="O6">
        <f>SUMIFS('Gasto Real'!O:O,'Gasto Real'!$E:$E,Resumen!$E6)</f>
        <v>3600</v>
      </c>
      <c r="P6">
        <f>SUMIFS('Gasto Real'!P:P,'Gasto Real'!$E:$E,Resumen!$E6)</f>
        <v>0</v>
      </c>
      <c r="Q6">
        <f>SUMIFS('Gasto Real'!Q:Q,'Gasto Real'!$E:$E,Resumen!$E6)</f>
        <v>70</v>
      </c>
      <c r="R6">
        <f>SUMIFS('Gasto Real'!R:R,'Gasto Real'!$E:$E,Resumen!$E6)</f>
        <v>0</v>
      </c>
      <c r="S6">
        <f>SUMIFS('Gasto Real'!S:S,'Gasto Real'!$E:$E,Resumen!$E6)</f>
        <v>0</v>
      </c>
      <c r="T6">
        <f>SUMIFS('Gasto Real'!T:T,'Gasto Real'!$E:$E,Resumen!$E6)</f>
        <v>321</v>
      </c>
      <c r="U6">
        <f t="shared" si="1"/>
        <v>-5862.3</v>
      </c>
      <c r="V6">
        <f>SUMIFS('Evento R'!H:H,'Evento R'!$E:$E,Resumen!$E6)</f>
        <v>0</v>
      </c>
      <c r="W6">
        <f>SUMIFS('Evento R'!I:I,'Evento R'!$E:$E,Resumen!$E6)</f>
        <v>0</v>
      </c>
      <c r="X6">
        <f>SUMIFS('Evento R'!J:J,'Evento R'!$E:$E,Resumen!$E6)</f>
        <v>0</v>
      </c>
      <c r="Y6">
        <f>SUMIFS('Evento R'!K:K,'Evento R'!$E:$E,Resumen!$E6)</f>
        <v>5000</v>
      </c>
      <c r="Z6">
        <f>SUMIFS('Evento R'!L:L,'Evento R'!$E:$E,Resumen!$E6)</f>
        <v>0</v>
      </c>
      <c r="AA6">
        <f>SUMIFS('Evento R'!M:M,'Evento R'!$E:$E,Resumen!$E6)</f>
        <v>0</v>
      </c>
      <c r="AB6">
        <f>SUMIFS('Evento R'!N:N,'Evento R'!$E:$E,Resumen!$E6)</f>
        <v>0</v>
      </c>
      <c r="AC6">
        <f>SUMIFS('Evento R'!O:O,'Evento R'!$E:$E,Resumen!$E6)</f>
        <v>0</v>
      </c>
      <c r="AD6">
        <f>SUMIFS('Evento R'!P:P,'Evento R'!$E:$E,Resumen!$E6)</f>
        <v>0</v>
      </c>
      <c r="AE6">
        <f>SUMIFS('Evento R'!Q:Q,'Evento R'!$E:$E,Resumen!$E6)</f>
        <v>0</v>
      </c>
      <c r="AF6">
        <f t="shared" si="2"/>
        <v>-5000</v>
      </c>
      <c r="AH6">
        <f t="shared" si="3"/>
        <v>8962.2000000000007</v>
      </c>
      <c r="AO6" t="s">
        <v>116</v>
      </c>
      <c r="AP6">
        <v>2000</v>
      </c>
      <c r="AS6" t="s">
        <v>118</v>
      </c>
      <c r="AT6">
        <v>-190</v>
      </c>
    </row>
    <row r="7" spans="1:50" x14ac:dyDescent="0.3">
      <c r="A7" s="8">
        <v>46235</v>
      </c>
      <c r="B7" s="5">
        <v>46235</v>
      </c>
      <c r="C7" s="5">
        <v>46249</v>
      </c>
      <c r="D7" s="6">
        <v>1</v>
      </c>
      <c r="E7" t="s">
        <v>12</v>
      </c>
      <c r="F7">
        <f t="shared" si="0"/>
        <v>23962.2</v>
      </c>
      <c r="G7">
        <f>SUMIFS(Ingresos!H:H,Ingresos!A:A,Resumen!A7)+SUMIFS(Ingresos!I:I,Ingresos!A:A,Resumen!A7)+SUMIFS(Ingresos!K:K,Ingresos!A:A,Resumen!A7)</f>
        <v>15000</v>
      </c>
      <c r="H7">
        <f>SUMIFS('Gasto Real'!H:H,'Gasto Real'!$E:$E,Resumen!$E7)</f>
        <v>551.84999999999991</v>
      </c>
      <c r="I7">
        <f>SUMIFS('Gasto Real'!I:I,'Gasto Real'!$E:$E,Resumen!$E7)</f>
        <v>0</v>
      </c>
      <c r="J7">
        <f>SUMIFS('Gasto Real'!J:J,'Gasto Real'!$E:$E,Resumen!$E7)</f>
        <v>0</v>
      </c>
      <c r="K7">
        <f>SUMIFS('Gasto Real'!K:K,'Gasto Real'!$E:$E,Resumen!$E7)</f>
        <v>0</v>
      </c>
      <c r="L7">
        <f>SUMIFS('Gasto Real'!L:L,'Gasto Real'!$E:$E,Resumen!$E7)</f>
        <v>0</v>
      </c>
      <c r="M7">
        <f>SUMIFS('Gasto Real'!M:M,'Gasto Real'!$E:$E,Resumen!$E7)</f>
        <v>600</v>
      </c>
      <c r="N7">
        <f>SUMIFS('Gasto Real'!N:N,'Gasto Real'!$E:$E,Resumen!$E7)</f>
        <v>0</v>
      </c>
      <c r="O7">
        <f>SUMIFS('Gasto Real'!O:O,'Gasto Real'!$E:$E,Resumen!$E7)</f>
        <v>3600</v>
      </c>
      <c r="P7">
        <f>SUMIFS('Gasto Real'!P:P,'Gasto Real'!$E:$E,Resumen!$E7)</f>
        <v>0</v>
      </c>
      <c r="Q7">
        <f>SUMIFS('Gasto Real'!Q:Q,'Gasto Real'!$E:$E,Resumen!$E7)</f>
        <v>0</v>
      </c>
      <c r="R7">
        <f>SUMIFS('Gasto Real'!R:R,'Gasto Real'!$E:$E,Resumen!$E7)</f>
        <v>70</v>
      </c>
      <c r="S7">
        <f>SUMIFS('Gasto Real'!S:S,'Gasto Real'!$E:$E,Resumen!$E7)</f>
        <v>70</v>
      </c>
      <c r="T7">
        <f>SUMIFS('Gasto Real'!T:T,'Gasto Real'!$E:$E,Resumen!$E7)</f>
        <v>0</v>
      </c>
      <c r="U7">
        <f t="shared" si="1"/>
        <v>-4891.8500000000004</v>
      </c>
      <c r="V7">
        <f>SUMIFS('Evento R'!H:H,'Evento R'!$E:$E,Resumen!$E7)</f>
        <v>0</v>
      </c>
      <c r="W7">
        <f>SUMIFS('Evento R'!I:I,'Evento R'!$E:$E,Resumen!$E7)</f>
        <v>2500</v>
      </c>
      <c r="X7">
        <f>SUMIFS('Evento R'!J:J,'Evento R'!$E:$E,Resumen!$E7)</f>
        <v>0</v>
      </c>
      <c r="Y7">
        <f>SUMIFS('Evento R'!K:K,'Evento R'!$E:$E,Resumen!$E7)</f>
        <v>5000</v>
      </c>
      <c r="Z7">
        <f>SUMIFS('Evento R'!L:L,'Evento R'!$E:$E,Resumen!$E7)</f>
        <v>0</v>
      </c>
      <c r="AA7">
        <f>SUMIFS('Evento R'!M:M,'Evento R'!$E:$E,Resumen!$E7)</f>
        <v>0</v>
      </c>
      <c r="AB7">
        <f>SUMIFS('Evento R'!N:N,'Evento R'!$E:$E,Resumen!$E7)</f>
        <v>0</v>
      </c>
      <c r="AC7">
        <f>SUMIFS('Evento R'!O:O,'Evento R'!$E:$E,Resumen!$E7)</f>
        <v>0</v>
      </c>
      <c r="AD7">
        <f>SUMIFS('Evento R'!P:P,'Evento R'!$E:$E,Resumen!$E7)</f>
        <v>0</v>
      </c>
      <c r="AE7">
        <f>SUMIFS('Evento R'!Q:Q,'Evento R'!$E:$E,Resumen!$E7)</f>
        <v>0</v>
      </c>
      <c r="AF7">
        <f t="shared" si="2"/>
        <v>-7500</v>
      </c>
      <c r="AH7">
        <f t="shared" si="3"/>
        <v>11570.35</v>
      </c>
    </row>
    <row r="8" spans="1:50" x14ac:dyDescent="0.3">
      <c r="A8" s="8">
        <v>46250</v>
      </c>
      <c r="B8" s="5">
        <v>46250</v>
      </c>
      <c r="C8" s="5">
        <v>46265</v>
      </c>
      <c r="D8" s="6">
        <v>1</v>
      </c>
      <c r="E8" t="s">
        <v>13</v>
      </c>
      <c r="F8">
        <f t="shared" si="0"/>
        <v>26570.35</v>
      </c>
      <c r="G8">
        <f>SUMIFS(Ingresos!H:H,Ingresos!A:A,Resumen!A8)+SUMIFS(Ingresos!I:I,Ingresos!A:A,Resumen!A8)+SUMIFS(Ingresos!K:K,Ingresos!A:A,Resumen!A8)</f>
        <v>15000</v>
      </c>
      <c r="H8">
        <f>SUMIFS('Gasto Real'!H:H,'Gasto Real'!$E:$E,Resumen!$E8)</f>
        <v>551.84999999999991</v>
      </c>
      <c r="I8">
        <f>SUMIFS('Gasto Real'!I:I,'Gasto Real'!$E:$E,Resumen!$E8)</f>
        <v>450</v>
      </c>
      <c r="J8">
        <f>SUMIFS('Gasto Real'!J:J,'Gasto Real'!$E:$E,Resumen!$E8)</f>
        <v>449</v>
      </c>
      <c r="K8">
        <f>SUMIFS('Gasto Real'!K:K,'Gasto Real'!$E:$E,Resumen!$E8)</f>
        <v>239</v>
      </c>
      <c r="L8">
        <f>SUMIFS('Gasto Real'!L:L,'Gasto Real'!$E:$E,Resumen!$E8)</f>
        <v>139</v>
      </c>
      <c r="M8">
        <f>SUMIFS('Gasto Real'!M:M,'Gasto Real'!$E:$E,Resumen!$E8)</f>
        <v>0</v>
      </c>
      <c r="N8">
        <f>SUMIFS('Gasto Real'!N:N,'Gasto Real'!$E:$E,Resumen!$E8)</f>
        <v>0</v>
      </c>
      <c r="O8">
        <f>SUMIFS('Gasto Real'!O:O,'Gasto Real'!$E:$E,Resumen!$E8)</f>
        <v>3600</v>
      </c>
      <c r="P8">
        <f>SUMIFS('Gasto Real'!P:P,'Gasto Real'!$E:$E,Resumen!$E8)</f>
        <v>0</v>
      </c>
      <c r="Q8">
        <f>SUMIFS('Gasto Real'!Q:Q,'Gasto Real'!$E:$E,Resumen!$E8)</f>
        <v>70</v>
      </c>
      <c r="R8">
        <f>SUMIFS('Gasto Real'!R:R,'Gasto Real'!$E:$E,Resumen!$E8)</f>
        <v>0</v>
      </c>
      <c r="S8">
        <f>SUMIFS('Gasto Real'!S:S,'Gasto Real'!$E:$E,Resumen!$E8)</f>
        <v>0</v>
      </c>
      <c r="T8">
        <f>SUMIFS('Gasto Real'!T:T,'Gasto Real'!$E:$E,Resumen!$E8)</f>
        <v>321</v>
      </c>
      <c r="U8">
        <f t="shared" si="1"/>
        <v>-5819.85</v>
      </c>
      <c r="V8">
        <f>SUMIFS('Evento R'!H:H,'Evento R'!$E:$E,Resumen!$E8)</f>
        <v>0</v>
      </c>
      <c r="W8">
        <f>SUMIFS('Evento R'!I:I,'Evento R'!$E:$E,Resumen!$E8)</f>
        <v>0</v>
      </c>
      <c r="X8">
        <f>SUMIFS('Evento R'!J:J,'Evento R'!$E:$E,Resumen!$E8)</f>
        <v>0</v>
      </c>
      <c r="Y8">
        <f>SUMIFS('Evento R'!K:K,'Evento R'!$E:$E,Resumen!$E8)</f>
        <v>5000</v>
      </c>
      <c r="Z8">
        <f>SUMIFS('Evento R'!L:L,'Evento R'!$E:$E,Resumen!$E8)</f>
        <v>4200</v>
      </c>
      <c r="AA8">
        <f>SUMIFS('Evento R'!M:M,'Evento R'!$E:$E,Resumen!$E8)</f>
        <v>0</v>
      </c>
      <c r="AB8">
        <f>SUMIFS('Evento R'!N:N,'Evento R'!$E:$E,Resumen!$E8)</f>
        <v>0</v>
      </c>
      <c r="AC8">
        <f>SUMIFS('Evento R'!O:O,'Evento R'!$E:$E,Resumen!$E8)</f>
        <v>0</v>
      </c>
      <c r="AD8">
        <f>SUMIFS('Evento R'!P:P,'Evento R'!$E:$E,Resumen!$E8)</f>
        <v>0</v>
      </c>
      <c r="AE8">
        <f>SUMIFS('Evento R'!Q:Q,'Evento R'!$E:$E,Resumen!$E8)</f>
        <v>0</v>
      </c>
      <c r="AF8">
        <f t="shared" si="2"/>
        <v>-9200</v>
      </c>
      <c r="AH8">
        <f t="shared" si="3"/>
        <v>11550.499999999998</v>
      </c>
    </row>
    <row r="9" spans="1:50" x14ac:dyDescent="0.3">
      <c r="A9" s="8">
        <v>46266</v>
      </c>
      <c r="B9" s="5">
        <v>46266</v>
      </c>
      <c r="C9" s="5">
        <v>46280</v>
      </c>
      <c r="D9" s="6">
        <v>1</v>
      </c>
      <c r="E9" t="s">
        <v>14</v>
      </c>
      <c r="F9">
        <f t="shared" si="0"/>
        <v>26550.5</v>
      </c>
      <c r="G9">
        <f>SUMIFS(Ingresos!H:H,Ingresos!A:A,Resumen!A9)+SUMIFS(Ingresos!I:I,Ingresos!A:A,Resumen!A9)+SUMIFS(Ingresos!K:K,Ingresos!A:A,Resumen!A9)</f>
        <v>15000</v>
      </c>
      <c r="H9">
        <f>SUMIFS('Gasto Real'!H:H,'Gasto Real'!$E:$E,Resumen!$E9)</f>
        <v>551.84999999999991</v>
      </c>
      <c r="I9">
        <f>SUMIFS('Gasto Real'!I:I,'Gasto Real'!$E:$E,Resumen!$E9)</f>
        <v>0</v>
      </c>
      <c r="J9">
        <f>SUMIFS('Gasto Real'!J:J,'Gasto Real'!$E:$E,Resumen!$E9)</f>
        <v>0</v>
      </c>
      <c r="K9">
        <f>SUMIFS('Gasto Real'!K:K,'Gasto Real'!$E:$E,Resumen!$E9)</f>
        <v>0</v>
      </c>
      <c r="L9">
        <f>SUMIFS('Gasto Real'!L:L,'Gasto Real'!$E:$E,Resumen!$E9)</f>
        <v>0</v>
      </c>
      <c r="M9">
        <f>SUMIFS('Gasto Real'!M:M,'Gasto Real'!$E:$E,Resumen!$E9)</f>
        <v>0</v>
      </c>
      <c r="N9">
        <f>SUMIFS('Gasto Real'!N:N,'Gasto Real'!$E:$E,Resumen!$E9)</f>
        <v>1400</v>
      </c>
      <c r="O9">
        <f>SUMIFS('Gasto Real'!O:O,'Gasto Real'!$E:$E,Resumen!$E9)</f>
        <v>3600</v>
      </c>
      <c r="P9">
        <f>SUMIFS('Gasto Real'!P:P,'Gasto Real'!$E:$E,Resumen!$E9)</f>
        <v>0</v>
      </c>
      <c r="Q9">
        <f>SUMIFS('Gasto Real'!Q:Q,'Gasto Real'!$E:$E,Resumen!$E9)</f>
        <v>0</v>
      </c>
      <c r="R9">
        <f>SUMIFS('Gasto Real'!R:R,'Gasto Real'!$E:$E,Resumen!$E9)</f>
        <v>70</v>
      </c>
      <c r="S9">
        <f>SUMIFS('Gasto Real'!S:S,'Gasto Real'!$E:$E,Resumen!$E9)</f>
        <v>70</v>
      </c>
      <c r="T9">
        <f>SUMIFS('Gasto Real'!T:T,'Gasto Real'!$E:$E,Resumen!$E9)</f>
        <v>0</v>
      </c>
      <c r="U9">
        <f t="shared" si="1"/>
        <v>-5691.85</v>
      </c>
      <c r="V9">
        <f>SUMIFS('Evento R'!H:H,'Evento R'!$E:$E,Resumen!$E9)</f>
        <v>0</v>
      </c>
      <c r="W9">
        <f>SUMIFS('Evento R'!I:I,'Evento R'!$E:$E,Resumen!$E9)</f>
        <v>0</v>
      </c>
      <c r="X9">
        <f>SUMIFS('Evento R'!J:J,'Evento R'!$E:$E,Resumen!$E9)</f>
        <v>0</v>
      </c>
      <c r="Y9">
        <f>SUMIFS('Evento R'!K:K,'Evento R'!$E:$E,Resumen!$E9)</f>
        <v>2000</v>
      </c>
      <c r="Z9">
        <f>SUMIFS('Evento R'!L:L,'Evento R'!$E:$E,Resumen!$E9)</f>
        <v>0</v>
      </c>
      <c r="AA9">
        <f>SUMIFS('Evento R'!M:M,'Evento R'!$E:$E,Resumen!$E9)</f>
        <v>0</v>
      </c>
      <c r="AB9">
        <f>SUMIFS('Evento R'!N:N,'Evento R'!$E:$E,Resumen!$E9)</f>
        <v>0</v>
      </c>
      <c r="AC9">
        <f>SUMIFS('Evento R'!O:O,'Evento R'!$E:$E,Resumen!$E9)</f>
        <v>0</v>
      </c>
      <c r="AD9">
        <f>SUMIFS('Evento R'!P:P,'Evento R'!$E:$E,Resumen!$E9)</f>
        <v>10000</v>
      </c>
      <c r="AE9">
        <f>SUMIFS('Evento R'!Q:Q,'Evento R'!$E:$E,Resumen!$E9)</f>
        <v>0</v>
      </c>
      <c r="AF9">
        <f t="shared" si="2"/>
        <v>-12000</v>
      </c>
      <c r="AH9">
        <f t="shared" si="3"/>
        <v>8858.6500000000015</v>
      </c>
    </row>
    <row r="10" spans="1:50" x14ac:dyDescent="0.3">
      <c r="A10" s="8">
        <v>46281</v>
      </c>
      <c r="B10" s="5">
        <v>46281</v>
      </c>
      <c r="C10" s="5">
        <v>46295</v>
      </c>
      <c r="D10" s="6">
        <v>1</v>
      </c>
      <c r="E10" t="s">
        <v>15</v>
      </c>
      <c r="F10">
        <f t="shared" si="0"/>
        <v>23858.65</v>
      </c>
      <c r="G10">
        <f>SUMIFS(Ingresos!H:H,Ingresos!A:A,Resumen!A10)+SUMIFS(Ingresos!I:I,Ingresos!A:A,Resumen!A10)+SUMIFS(Ingresos!K:K,Ingresos!A:A,Resumen!A10)</f>
        <v>15000</v>
      </c>
      <c r="H10">
        <f>SUMIFS('Gasto Real'!H:H,'Gasto Real'!$E:$E,Resumen!$E10)</f>
        <v>551.84999999999991</v>
      </c>
      <c r="I10">
        <f>SUMIFS('Gasto Real'!I:I,'Gasto Real'!$E:$E,Resumen!$E10)</f>
        <v>450</v>
      </c>
      <c r="J10">
        <f>SUMIFS('Gasto Real'!J:J,'Gasto Real'!$E:$E,Resumen!$E10)</f>
        <v>449</v>
      </c>
      <c r="K10">
        <f>SUMIFS('Gasto Real'!K:K,'Gasto Real'!$E:$E,Resumen!$E10)</f>
        <v>239</v>
      </c>
      <c r="L10">
        <f>SUMIFS('Gasto Real'!L:L,'Gasto Real'!$E:$E,Resumen!$E10)</f>
        <v>139</v>
      </c>
      <c r="M10">
        <f>SUMIFS('Gasto Real'!M:M,'Gasto Real'!$E:$E,Resumen!$E10)</f>
        <v>0</v>
      </c>
      <c r="N10">
        <f>SUMIFS('Gasto Real'!N:N,'Gasto Real'!$E:$E,Resumen!$E10)</f>
        <v>0</v>
      </c>
      <c r="O10">
        <f>SUMIFS('Gasto Real'!O:O,'Gasto Real'!$E:$E,Resumen!$E10)</f>
        <v>3600</v>
      </c>
      <c r="P10">
        <f>SUMIFS('Gasto Real'!P:P,'Gasto Real'!$E:$E,Resumen!$E10)</f>
        <v>0</v>
      </c>
      <c r="Q10">
        <f>SUMIFS('Gasto Real'!Q:Q,'Gasto Real'!$E:$E,Resumen!$E10)</f>
        <v>70</v>
      </c>
      <c r="R10">
        <f>SUMIFS('Gasto Real'!R:R,'Gasto Real'!$E:$E,Resumen!$E10)</f>
        <v>0</v>
      </c>
      <c r="S10">
        <f>SUMIFS('Gasto Real'!S:S,'Gasto Real'!$E:$E,Resumen!$E10)</f>
        <v>0</v>
      </c>
      <c r="T10">
        <f>SUMIFS('Gasto Real'!T:T,'Gasto Real'!$E:$E,Resumen!$E10)</f>
        <v>321</v>
      </c>
      <c r="U10">
        <f t="shared" si="1"/>
        <v>-5819.85</v>
      </c>
      <c r="V10">
        <f>SUMIFS('Evento R'!H:H,'Evento R'!$E:$E,Resumen!$E10)</f>
        <v>0</v>
      </c>
      <c r="W10">
        <f>SUMIFS('Evento R'!I:I,'Evento R'!$E:$E,Resumen!$E10)</f>
        <v>0</v>
      </c>
      <c r="X10">
        <f>SUMIFS('Evento R'!J:J,'Evento R'!$E:$E,Resumen!$E10)</f>
        <v>0</v>
      </c>
      <c r="Y10">
        <f>SUMIFS('Evento R'!K:K,'Evento R'!$E:$E,Resumen!$E10)</f>
        <v>0</v>
      </c>
      <c r="Z10">
        <f>SUMIFS('Evento R'!L:L,'Evento R'!$E:$E,Resumen!$E10)</f>
        <v>0</v>
      </c>
      <c r="AA10">
        <f>SUMIFS('Evento R'!M:M,'Evento R'!$E:$E,Resumen!$E10)</f>
        <v>0</v>
      </c>
      <c r="AB10">
        <f>SUMIFS('Evento R'!N:N,'Evento R'!$E:$E,Resumen!$E10)</f>
        <v>0</v>
      </c>
      <c r="AC10">
        <f>SUMIFS('Evento R'!O:O,'Evento R'!$E:$E,Resumen!$E10)</f>
        <v>0</v>
      </c>
      <c r="AD10">
        <f>SUMIFS('Evento R'!P:P,'Evento R'!$E:$E,Resumen!$E10)</f>
        <v>10000</v>
      </c>
      <c r="AE10">
        <f>SUMIFS('Evento R'!Q:Q,'Evento R'!$E:$E,Resumen!$E10)</f>
        <v>0</v>
      </c>
      <c r="AF10">
        <f t="shared" si="2"/>
        <v>-10000</v>
      </c>
      <c r="AH10">
        <f t="shared" si="3"/>
        <v>8038.8000000000011</v>
      </c>
    </row>
    <row r="11" spans="1:50" x14ac:dyDescent="0.3">
      <c r="A11" s="8">
        <v>46296</v>
      </c>
      <c r="B11" s="5">
        <v>46296</v>
      </c>
      <c r="C11" s="5">
        <v>46310</v>
      </c>
      <c r="D11" s="6">
        <v>1</v>
      </c>
      <c r="E11" t="s">
        <v>16</v>
      </c>
      <c r="F11">
        <f t="shared" si="0"/>
        <v>23038.800000000003</v>
      </c>
      <c r="G11">
        <f>SUMIFS(Ingresos!H:H,Ingresos!A:A,Resumen!A11)+SUMIFS(Ingresos!I:I,Ingresos!A:A,Resumen!A11)+SUMIFS(Ingresos!K:K,Ingresos!A:A,Resumen!A11)</f>
        <v>15000</v>
      </c>
      <c r="H11">
        <f>SUMIFS('Gasto Real'!H:H,'Gasto Real'!$E:$E,Resumen!$E11)</f>
        <v>551.84999999999991</v>
      </c>
      <c r="I11">
        <f>SUMIFS('Gasto Real'!I:I,'Gasto Real'!$E:$E,Resumen!$E11)</f>
        <v>0</v>
      </c>
      <c r="J11">
        <f>SUMIFS('Gasto Real'!J:J,'Gasto Real'!$E:$E,Resumen!$E11)</f>
        <v>0</v>
      </c>
      <c r="K11">
        <f>SUMIFS('Gasto Real'!K:K,'Gasto Real'!$E:$E,Resumen!$E11)</f>
        <v>0</v>
      </c>
      <c r="L11">
        <f>SUMIFS('Gasto Real'!L:L,'Gasto Real'!$E:$E,Resumen!$E11)</f>
        <v>0</v>
      </c>
      <c r="M11">
        <f>SUMIFS('Gasto Real'!M:M,'Gasto Real'!$E:$E,Resumen!$E11)</f>
        <v>600</v>
      </c>
      <c r="N11">
        <f>SUMIFS('Gasto Real'!N:N,'Gasto Real'!$E:$E,Resumen!$E11)</f>
        <v>0</v>
      </c>
      <c r="O11">
        <f>SUMIFS('Gasto Real'!O:O,'Gasto Real'!$E:$E,Resumen!$E11)</f>
        <v>3600</v>
      </c>
      <c r="P11">
        <f>SUMIFS('Gasto Real'!P:P,'Gasto Real'!$E:$E,Resumen!$E11)</f>
        <v>0</v>
      </c>
      <c r="Q11">
        <f>SUMIFS('Gasto Real'!Q:Q,'Gasto Real'!$E:$E,Resumen!$E11)</f>
        <v>0</v>
      </c>
      <c r="R11">
        <f>SUMIFS('Gasto Real'!R:R,'Gasto Real'!$E:$E,Resumen!$E11)</f>
        <v>140</v>
      </c>
      <c r="S11">
        <f>SUMIFS('Gasto Real'!S:S,'Gasto Real'!$E:$E,Resumen!$E11)</f>
        <v>140</v>
      </c>
      <c r="T11">
        <f>SUMIFS('Gasto Real'!T:T,'Gasto Real'!$E:$E,Resumen!$E11)</f>
        <v>0</v>
      </c>
      <c r="U11">
        <f t="shared" si="1"/>
        <v>-5031.8500000000004</v>
      </c>
      <c r="V11">
        <f>SUMIFS('Evento R'!H:H,'Evento R'!$E:$E,Resumen!$E11)</f>
        <v>0</v>
      </c>
      <c r="W11">
        <f>SUMIFS('Evento R'!I:I,'Evento R'!$E:$E,Resumen!$E11)</f>
        <v>0</v>
      </c>
      <c r="X11">
        <f>SUMIFS('Evento R'!J:J,'Evento R'!$E:$E,Resumen!$E11)</f>
        <v>0</v>
      </c>
      <c r="Y11">
        <f>SUMIFS('Evento R'!K:K,'Evento R'!$E:$E,Resumen!$E11)</f>
        <v>0</v>
      </c>
      <c r="Z11">
        <f>SUMIFS('Evento R'!L:L,'Evento R'!$E:$E,Resumen!$E11)</f>
        <v>0</v>
      </c>
      <c r="AA11">
        <f>SUMIFS('Evento R'!M:M,'Evento R'!$E:$E,Resumen!$E11)</f>
        <v>0</v>
      </c>
      <c r="AB11">
        <f>SUMIFS('Evento R'!N:N,'Evento R'!$E:$E,Resumen!$E11)</f>
        <v>0</v>
      </c>
      <c r="AC11">
        <f>SUMIFS('Evento R'!O:O,'Evento R'!$E:$E,Resumen!$E11)</f>
        <v>0</v>
      </c>
      <c r="AD11">
        <f>SUMIFS('Evento R'!P:P,'Evento R'!$E:$E,Resumen!$E11)</f>
        <v>0</v>
      </c>
      <c r="AE11">
        <f>SUMIFS('Evento R'!Q:Q,'Evento R'!$E:$E,Resumen!$E11)</f>
        <v>0</v>
      </c>
      <c r="AF11">
        <f t="shared" si="2"/>
        <v>0</v>
      </c>
      <c r="AH11">
        <f t="shared" si="3"/>
        <v>18006.950000000004</v>
      </c>
    </row>
    <row r="12" spans="1:50" x14ac:dyDescent="0.3">
      <c r="A12" s="8">
        <v>46311</v>
      </c>
      <c r="B12" s="5">
        <v>46311</v>
      </c>
      <c r="C12" s="5">
        <v>46326</v>
      </c>
      <c r="D12" s="6">
        <v>1</v>
      </c>
      <c r="E12" t="s">
        <v>17</v>
      </c>
      <c r="F12">
        <f t="shared" si="0"/>
        <v>33006.950000000004</v>
      </c>
      <c r="G12">
        <f>SUMIFS(Ingresos!H:H,Ingresos!A:A,Resumen!A12)+SUMIFS(Ingresos!I:I,Ingresos!A:A,Resumen!A12)+SUMIFS(Ingresos!K:K,Ingresos!A:A,Resumen!A12)</f>
        <v>15000</v>
      </c>
      <c r="H12">
        <f>SUMIFS('Gasto Real'!H:H,'Gasto Real'!$E:$E,Resumen!$E12)</f>
        <v>594.29999999999995</v>
      </c>
      <c r="I12">
        <f>SUMIFS('Gasto Real'!I:I,'Gasto Real'!$E:$E,Resumen!$E12)</f>
        <v>450</v>
      </c>
      <c r="J12">
        <f>SUMIFS('Gasto Real'!J:J,'Gasto Real'!$E:$E,Resumen!$E12)</f>
        <v>449</v>
      </c>
      <c r="K12">
        <f>SUMIFS('Gasto Real'!K:K,'Gasto Real'!$E:$E,Resumen!$E12)</f>
        <v>239</v>
      </c>
      <c r="L12">
        <f>SUMIFS('Gasto Real'!L:L,'Gasto Real'!$E:$E,Resumen!$E12)</f>
        <v>139</v>
      </c>
      <c r="M12">
        <f>SUMIFS('Gasto Real'!M:M,'Gasto Real'!$E:$E,Resumen!$E12)</f>
        <v>0</v>
      </c>
      <c r="N12">
        <f>SUMIFS('Gasto Real'!N:N,'Gasto Real'!$E:$E,Resumen!$E12)</f>
        <v>0</v>
      </c>
      <c r="O12">
        <f>SUMIFS('Gasto Real'!O:O,'Gasto Real'!$E:$E,Resumen!$E12)</f>
        <v>3600</v>
      </c>
      <c r="P12">
        <f>SUMIFS('Gasto Real'!P:P,'Gasto Real'!$E:$E,Resumen!$E12)</f>
        <v>0</v>
      </c>
      <c r="Q12">
        <f>SUMIFS('Gasto Real'!Q:Q,'Gasto Real'!$E:$E,Resumen!$E12)</f>
        <v>70</v>
      </c>
      <c r="R12">
        <f>SUMIFS('Gasto Real'!R:R,'Gasto Real'!$E:$E,Resumen!$E12)</f>
        <v>0</v>
      </c>
      <c r="S12">
        <f>SUMIFS('Gasto Real'!S:S,'Gasto Real'!$E:$E,Resumen!$E12)</f>
        <v>0</v>
      </c>
      <c r="T12">
        <f>SUMIFS('Gasto Real'!T:T,'Gasto Real'!$E:$E,Resumen!$E12)</f>
        <v>321</v>
      </c>
      <c r="U12">
        <f t="shared" si="1"/>
        <v>-5862.3</v>
      </c>
      <c r="V12">
        <f>SUMIFS('Evento R'!H:H,'Evento R'!$E:$E,Resumen!$E12)</f>
        <v>0</v>
      </c>
      <c r="W12">
        <f>SUMIFS('Evento R'!I:I,'Evento R'!$E:$E,Resumen!$E12)</f>
        <v>0</v>
      </c>
      <c r="X12">
        <f>SUMIFS('Evento R'!J:J,'Evento R'!$E:$E,Resumen!$E12)</f>
        <v>0</v>
      </c>
      <c r="Y12">
        <f>SUMIFS('Evento R'!K:K,'Evento R'!$E:$E,Resumen!$E12)</f>
        <v>0</v>
      </c>
      <c r="Z12">
        <f>SUMIFS('Evento R'!L:L,'Evento R'!$E:$E,Resumen!$E12)</f>
        <v>0</v>
      </c>
      <c r="AA12">
        <f>SUMIFS('Evento R'!M:M,'Evento R'!$E:$E,Resumen!$E12)</f>
        <v>0</v>
      </c>
      <c r="AB12">
        <f>SUMIFS('Evento R'!N:N,'Evento R'!$E:$E,Resumen!$E12)</f>
        <v>0</v>
      </c>
      <c r="AC12">
        <f>SUMIFS('Evento R'!O:O,'Evento R'!$E:$E,Resumen!$E12)</f>
        <v>0</v>
      </c>
      <c r="AD12">
        <f>SUMIFS('Evento R'!P:P,'Evento R'!$E:$E,Resumen!$E12)</f>
        <v>0</v>
      </c>
      <c r="AE12">
        <f>SUMIFS('Evento R'!Q:Q,'Evento R'!$E:$E,Resumen!$E12)</f>
        <v>0</v>
      </c>
      <c r="AF12">
        <f t="shared" si="2"/>
        <v>0</v>
      </c>
      <c r="AH12">
        <f t="shared" si="3"/>
        <v>27144.650000000005</v>
      </c>
    </row>
    <row r="13" spans="1:50" x14ac:dyDescent="0.3">
      <c r="A13" s="8">
        <v>46327</v>
      </c>
      <c r="B13" s="5">
        <v>46327</v>
      </c>
      <c r="C13" s="5">
        <v>46341</v>
      </c>
      <c r="D13" s="6">
        <v>1</v>
      </c>
      <c r="E13" t="s">
        <v>18</v>
      </c>
      <c r="F13">
        <f t="shared" si="0"/>
        <v>42144.650000000009</v>
      </c>
      <c r="G13">
        <f>SUMIFS(Ingresos!H:H,Ingresos!A:A,Resumen!A13)+SUMIFS(Ingresos!I:I,Ingresos!A:A,Resumen!A13)+SUMIFS(Ingresos!K:K,Ingresos!A:A,Resumen!A13)</f>
        <v>15000</v>
      </c>
      <c r="H13">
        <f>SUMIFS('Gasto Real'!H:H,'Gasto Real'!$E:$E,Resumen!$E13)</f>
        <v>509.39999999999992</v>
      </c>
      <c r="I13">
        <f>SUMIFS('Gasto Real'!I:I,'Gasto Real'!$E:$E,Resumen!$E13)</f>
        <v>0</v>
      </c>
      <c r="J13">
        <f>SUMIFS('Gasto Real'!J:J,'Gasto Real'!$E:$E,Resumen!$E13)</f>
        <v>0</v>
      </c>
      <c r="K13">
        <f>SUMIFS('Gasto Real'!K:K,'Gasto Real'!$E:$E,Resumen!$E13)</f>
        <v>0</v>
      </c>
      <c r="L13">
        <f>SUMIFS('Gasto Real'!L:L,'Gasto Real'!$E:$E,Resumen!$E13)</f>
        <v>0</v>
      </c>
      <c r="M13">
        <f>SUMIFS('Gasto Real'!M:M,'Gasto Real'!$E:$E,Resumen!$E13)</f>
        <v>0</v>
      </c>
      <c r="N13">
        <f>SUMIFS('Gasto Real'!N:N,'Gasto Real'!$E:$E,Resumen!$E13)</f>
        <v>1200</v>
      </c>
      <c r="O13">
        <f>SUMIFS('Gasto Real'!O:O,'Gasto Real'!$E:$E,Resumen!$E13)</f>
        <v>3600</v>
      </c>
      <c r="P13">
        <f>SUMIFS('Gasto Real'!P:P,'Gasto Real'!$E:$E,Resumen!$E13)</f>
        <v>0</v>
      </c>
      <c r="Q13">
        <f>SUMIFS('Gasto Real'!Q:Q,'Gasto Real'!$E:$E,Resumen!$E13)</f>
        <v>0</v>
      </c>
      <c r="R13">
        <f>SUMIFS('Gasto Real'!R:R,'Gasto Real'!$E:$E,Resumen!$E13)</f>
        <v>70</v>
      </c>
      <c r="S13">
        <f>SUMIFS('Gasto Real'!S:S,'Gasto Real'!$E:$E,Resumen!$E13)</f>
        <v>70</v>
      </c>
      <c r="T13">
        <f>SUMIFS('Gasto Real'!T:T,'Gasto Real'!$E:$E,Resumen!$E13)</f>
        <v>0</v>
      </c>
      <c r="U13">
        <f t="shared" si="1"/>
        <v>-5449.4</v>
      </c>
      <c r="V13">
        <f>SUMIFS('Evento R'!H:H,'Evento R'!$E:$E,Resumen!$E13)</f>
        <v>0</v>
      </c>
      <c r="W13">
        <f>SUMIFS('Evento R'!I:I,'Evento R'!$E:$E,Resumen!$E13)</f>
        <v>0</v>
      </c>
      <c r="X13">
        <f>SUMIFS('Evento R'!J:J,'Evento R'!$E:$E,Resumen!$E13)</f>
        <v>0</v>
      </c>
      <c r="Y13">
        <f>SUMIFS('Evento R'!K:K,'Evento R'!$E:$E,Resumen!$E13)</f>
        <v>0</v>
      </c>
      <c r="Z13">
        <f>SUMIFS('Evento R'!L:L,'Evento R'!$E:$E,Resumen!$E13)</f>
        <v>0</v>
      </c>
      <c r="AA13">
        <f>SUMIFS('Evento R'!M:M,'Evento R'!$E:$E,Resumen!$E13)</f>
        <v>0</v>
      </c>
      <c r="AB13">
        <f>SUMIFS('Evento R'!N:N,'Evento R'!$E:$E,Resumen!$E13)</f>
        <v>0</v>
      </c>
      <c r="AC13">
        <f>SUMIFS('Evento R'!O:O,'Evento R'!$E:$E,Resumen!$E13)</f>
        <v>0</v>
      </c>
      <c r="AD13">
        <f>SUMIFS('Evento R'!P:P,'Evento R'!$E:$E,Resumen!$E13)</f>
        <v>0</v>
      </c>
      <c r="AE13">
        <f>SUMIFS('Evento R'!Q:Q,'Evento R'!$E:$E,Resumen!$E13)</f>
        <v>0</v>
      </c>
      <c r="AF13">
        <f t="shared" si="2"/>
        <v>0</v>
      </c>
      <c r="AH13">
        <f t="shared" si="3"/>
        <v>36695.250000000007</v>
      </c>
    </row>
    <row r="14" spans="1:50" x14ac:dyDescent="0.3">
      <c r="A14" s="8">
        <v>46342</v>
      </c>
      <c r="B14" s="5">
        <v>46342</v>
      </c>
      <c r="C14" s="5">
        <v>46356</v>
      </c>
      <c r="D14" s="6">
        <v>1</v>
      </c>
      <c r="E14" t="s">
        <v>19</v>
      </c>
      <c r="F14">
        <f t="shared" si="0"/>
        <v>51695.250000000007</v>
      </c>
      <c r="G14">
        <f>SUMIFS(Ingresos!H:H,Ingresos!A:A,Resumen!A14)+SUMIFS(Ingresos!I:I,Ingresos!A:A,Resumen!A14)+SUMIFS(Ingresos!K:K,Ingresos!A:A,Resumen!A14)</f>
        <v>15000</v>
      </c>
      <c r="H14">
        <f>SUMIFS('Gasto Real'!H:H,'Gasto Real'!$E:$E,Resumen!$E14)</f>
        <v>551.84999999999991</v>
      </c>
      <c r="I14">
        <f>SUMIFS('Gasto Real'!I:I,'Gasto Real'!$E:$E,Resumen!$E14)</f>
        <v>450</v>
      </c>
      <c r="J14">
        <f>SUMIFS('Gasto Real'!J:J,'Gasto Real'!$E:$E,Resumen!$E14)</f>
        <v>449</v>
      </c>
      <c r="K14">
        <f>SUMIFS('Gasto Real'!K:K,'Gasto Real'!$E:$E,Resumen!$E14)</f>
        <v>239</v>
      </c>
      <c r="L14">
        <f>SUMIFS('Gasto Real'!L:L,'Gasto Real'!$E:$E,Resumen!$E14)</f>
        <v>139</v>
      </c>
      <c r="M14">
        <f>SUMIFS('Gasto Real'!M:M,'Gasto Real'!$E:$E,Resumen!$E14)</f>
        <v>0</v>
      </c>
      <c r="N14">
        <f>SUMIFS('Gasto Real'!N:N,'Gasto Real'!$E:$E,Resumen!$E14)</f>
        <v>0</v>
      </c>
      <c r="O14">
        <f>SUMIFS('Gasto Real'!O:O,'Gasto Real'!$E:$E,Resumen!$E14)</f>
        <v>3600</v>
      </c>
      <c r="P14">
        <f>SUMIFS('Gasto Real'!P:P,'Gasto Real'!$E:$E,Resumen!$E14)</f>
        <v>0</v>
      </c>
      <c r="Q14">
        <f>SUMIFS('Gasto Real'!Q:Q,'Gasto Real'!$E:$E,Resumen!$E14)</f>
        <v>70</v>
      </c>
      <c r="R14">
        <f>SUMIFS('Gasto Real'!R:R,'Gasto Real'!$E:$E,Resumen!$E14)</f>
        <v>0</v>
      </c>
      <c r="S14">
        <f>SUMIFS('Gasto Real'!S:S,'Gasto Real'!$E:$E,Resumen!$E14)</f>
        <v>0</v>
      </c>
      <c r="T14">
        <f>SUMIFS('Gasto Real'!T:T,'Gasto Real'!$E:$E,Resumen!$E14)</f>
        <v>321</v>
      </c>
      <c r="U14">
        <f t="shared" si="1"/>
        <v>-5819.85</v>
      </c>
      <c r="V14">
        <f>SUMIFS('Evento R'!H:H,'Evento R'!$E:$E,Resumen!$E14)</f>
        <v>0</v>
      </c>
      <c r="W14">
        <f>SUMIFS('Evento R'!I:I,'Evento R'!$E:$E,Resumen!$E14)</f>
        <v>0</v>
      </c>
      <c r="X14">
        <f>SUMIFS('Evento R'!J:J,'Evento R'!$E:$E,Resumen!$E14)</f>
        <v>0</v>
      </c>
      <c r="Y14">
        <f>SUMIFS('Evento R'!K:K,'Evento R'!$E:$E,Resumen!$E14)</f>
        <v>0</v>
      </c>
      <c r="Z14">
        <f>SUMIFS('Evento R'!L:L,'Evento R'!$E:$E,Resumen!$E14)</f>
        <v>0</v>
      </c>
      <c r="AA14">
        <f>SUMIFS('Evento R'!M:M,'Evento R'!$E:$E,Resumen!$E14)</f>
        <v>5000</v>
      </c>
      <c r="AB14">
        <f>SUMIFS('Evento R'!N:N,'Evento R'!$E:$E,Resumen!$E14)</f>
        <v>0</v>
      </c>
      <c r="AC14">
        <f>SUMIFS('Evento R'!O:O,'Evento R'!$E:$E,Resumen!$E14)</f>
        <v>0</v>
      </c>
      <c r="AD14">
        <f>SUMIFS('Evento R'!P:P,'Evento R'!$E:$E,Resumen!$E14)</f>
        <v>0</v>
      </c>
      <c r="AE14">
        <f>SUMIFS('Evento R'!Q:Q,'Evento R'!$E:$E,Resumen!$E14)</f>
        <v>0</v>
      </c>
      <c r="AF14">
        <f t="shared" si="2"/>
        <v>-5000</v>
      </c>
      <c r="AH14">
        <f t="shared" si="3"/>
        <v>40875.400000000009</v>
      </c>
    </row>
    <row r="15" spans="1:50" x14ac:dyDescent="0.3">
      <c r="A15" s="8">
        <v>46357</v>
      </c>
      <c r="B15" s="5">
        <v>46357</v>
      </c>
      <c r="C15" s="5">
        <v>46371</v>
      </c>
      <c r="D15" s="6">
        <v>1</v>
      </c>
      <c r="E15" t="s">
        <v>20</v>
      </c>
      <c r="F15">
        <f t="shared" si="0"/>
        <v>55875.400000000009</v>
      </c>
      <c r="G15">
        <f>SUMIFS(Ingresos!H:H,Ingresos!A:A,Resumen!A15)+SUMIFS(Ingresos!I:I,Ingresos!A:A,Resumen!A15)+SUMIFS(Ingresos!K:K,Ingresos!A:A,Resumen!A15)</f>
        <v>15000</v>
      </c>
      <c r="H15">
        <f>SUMIFS('Gasto Real'!H:H,'Gasto Real'!$E:$E,Resumen!$E15)</f>
        <v>551.84999999999991</v>
      </c>
      <c r="I15">
        <f>SUMIFS('Gasto Real'!I:I,'Gasto Real'!$E:$E,Resumen!$E15)</f>
        <v>0</v>
      </c>
      <c r="J15">
        <f>SUMIFS('Gasto Real'!J:J,'Gasto Real'!$E:$E,Resumen!$E15)</f>
        <v>0</v>
      </c>
      <c r="K15">
        <f>SUMIFS('Gasto Real'!K:K,'Gasto Real'!$E:$E,Resumen!$E15)</f>
        <v>0</v>
      </c>
      <c r="L15">
        <f>SUMIFS('Gasto Real'!L:L,'Gasto Real'!$E:$E,Resumen!$E15)</f>
        <v>0</v>
      </c>
      <c r="M15">
        <f>SUMIFS('Gasto Real'!M:M,'Gasto Real'!$E:$E,Resumen!$E15)</f>
        <v>600</v>
      </c>
      <c r="N15">
        <f>SUMIFS('Gasto Real'!N:N,'Gasto Real'!$E:$E,Resumen!$E15)</f>
        <v>0</v>
      </c>
      <c r="O15">
        <f>SUMIFS('Gasto Real'!O:O,'Gasto Real'!$E:$E,Resumen!$E15)</f>
        <v>3600</v>
      </c>
      <c r="P15">
        <f>SUMIFS('Gasto Real'!P:P,'Gasto Real'!$E:$E,Resumen!$E15)</f>
        <v>0</v>
      </c>
      <c r="Q15">
        <f>SUMIFS('Gasto Real'!Q:Q,'Gasto Real'!$E:$E,Resumen!$E15)</f>
        <v>0</v>
      </c>
      <c r="R15">
        <f>SUMIFS('Gasto Real'!R:R,'Gasto Real'!$E:$E,Resumen!$E15)</f>
        <v>140</v>
      </c>
      <c r="S15">
        <f>SUMIFS('Gasto Real'!S:S,'Gasto Real'!$E:$E,Resumen!$E15)</f>
        <v>140</v>
      </c>
      <c r="T15">
        <f>SUMIFS('Gasto Real'!T:T,'Gasto Real'!$E:$E,Resumen!$E15)</f>
        <v>0</v>
      </c>
      <c r="U15">
        <f t="shared" si="1"/>
        <v>-5031.8500000000004</v>
      </c>
      <c r="V15">
        <f>SUMIFS('Evento R'!H:H,'Evento R'!$E:$E,Resumen!$E15)</f>
        <v>0</v>
      </c>
      <c r="W15">
        <f>SUMIFS('Evento R'!I:I,'Evento R'!$E:$E,Resumen!$E15)</f>
        <v>0</v>
      </c>
      <c r="X15">
        <f>SUMIFS('Evento R'!J:J,'Evento R'!$E:$E,Resumen!$E15)</f>
        <v>0</v>
      </c>
      <c r="Y15">
        <f>SUMIFS('Evento R'!K:K,'Evento R'!$E:$E,Resumen!$E15)</f>
        <v>0</v>
      </c>
      <c r="Z15">
        <f>SUMIFS('Evento R'!L:L,'Evento R'!$E:$E,Resumen!$E15)</f>
        <v>0</v>
      </c>
      <c r="AA15">
        <f>SUMIFS('Evento R'!M:M,'Evento R'!$E:$E,Resumen!$E15)</f>
        <v>5000</v>
      </c>
      <c r="AB15">
        <f>SUMIFS('Evento R'!N:N,'Evento R'!$E:$E,Resumen!$E15)</f>
        <v>0</v>
      </c>
      <c r="AC15">
        <f>SUMIFS('Evento R'!O:O,'Evento R'!$E:$E,Resumen!$E15)</f>
        <v>0</v>
      </c>
      <c r="AD15">
        <f>SUMIFS('Evento R'!P:P,'Evento R'!$E:$E,Resumen!$E15)</f>
        <v>0</v>
      </c>
      <c r="AE15">
        <f>SUMIFS('Evento R'!Q:Q,'Evento R'!$E:$E,Resumen!$E15)</f>
        <v>0</v>
      </c>
      <c r="AF15">
        <f t="shared" si="2"/>
        <v>-5000</v>
      </c>
      <c r="AH15">
        <f t="shared" si="3"/>
        <v>45843.55000000001</v>
      </c>
    </row>
    <row r="16" spans="1:50" x14ac:dyDescent="0.3">
      <c r="A16" s="8">
        <v>46372</v>
      </c>
      <c r="B16" s="5">
        <v>46372</v>
      </c>
      <c r="C16" s="5">
        <v>46143</v>
      </c>
      <c r="D16" s="6">
        <v>1</v>
      </c>
      <c r="E16" t="s">
        <v>21</v>
      </c>
      <c r="F16">
        <f t="shared" si="0"/>
        <v>60843.55000000001</v>
      </c>
      <c r="G16">
        <f>SUMIFS(Ingresos!H:H,Ingresos!A:A,Resumen!A16)+SUMIFS(Ingresos!I:I,Ingresos!A:A,Resumen!A16)+SUMIFS(Ingresos!K:K,Ingresos!A:A,Resumen!A16)</f>
        <v>15000</v>
      </c>
      <c r="H16">
        <f>SUMIFS('Gasto Real'!H:H,'Gasto Real'!$E:$E,Resumen!$E16)</f>
        <v>594.29999999999995</v>
      </c>
      <c r="I16">
        <f>SUMIFS('Gasto Real'!I:I,'Gasto Real'!$E:$E,Resumen!$E16)</f>
        <v>450</v>
      </c>
      <c r="J16">
        <f>SUMIFS('Gasto Real'!J:J,'Gasto Real'!$E:$E,Resumen!$E16)</f>
        <v>449</v>
      </c>
      <c r="K16">
        <f>SUMIFS('Gasto Real'!K:K,'Gasto Real'!$E:$E,Resumen!$E16)</f>
        <v>239</v>
      </c>
      <c r="L16">
        <f>SUMIFS('Gasto Real'!L:L,'Gasto Real'!$E:$E,Resumen!$E16)</f>
        <v>139</v>
      </c>
      <c r="M16">
        <f>SUMIFS('Gasto Real'!M:M,'Gasto Real'!$E:$E,Resumen!$E16)</f>
        <v>0</v>
      </c>
      <c r="N16">
        <f>SUMIFS('Gasto Real'!N:N,'Gasto Real'!$E:$E,Resumen!$E16)</f>
        <v>0</v>
      </c>
      <c r="O16">
        <f>SUMIFS('Gasto Real'!O:O,'Gasto Real'!$E:$E,Resumen!$E16)</f>
        <v>3600</v>
      </c>
      <c r="P16">
        <f>SUMIFS('Gasto Real'!P:P,'Gasto Real'!$E:$E,Resumen!$E16)</f>
        <v>0</v>
      </c>
      <c r="Q16">
        <f>SUMIFS('Gasto Real'!Q:Q,'Gasto Real'!$E:$E,Resumen!$E16)</f>
        <v>70</v>
      </c>
      <c r="R16">
        <f>SUMIFS('Gasto Real'!R:R,'Gasto Real'!$E:$E,Resumen!$E16)</f>
        <v>0</v>
      </c>
      <c r="S16">
        <f>SUMIFS('Gasto Real'!S:S,'Gasto Real'!$E:$E,Resumen!$E16)</f>
        <v>0</v>
      </c>
      <c r="T16">
        <f>SUMIFS('Gasto Real'!T:T,'Gasto Real'!$E:$E,Resumen!$E16)</f>
        <v>321</v>
      </c>
      <c r="U16">
        <f t="shared" si="1"/>
        <v>-5862.3</v>
      </c>
      <c r="V16">
        <f>SUMIFS('Evento R'!H:H,'Evento R'!$E:$E,Resumen!$E16)</f>
        <v>0</v>
      </c>
      <c r="W16">
        <f>SUMIFS('Evento R'!I:I,'Evento R'!$E:$E,Resumen!$E16)</f>
        <v>0</v>
      </c>
      <c r="X16">
        <f>SUMIFS('Evento R'!J:J,'Evento R'!$E:$E,Resumen!$E16)</f>
        <v>0</v>
      </c>
      <c r="Y16">
        <f>SUMIFS('Evento R'!K:K,'Evento R'!$E:$E,Resumen!$E16)</f>
        <v>0</v>
      </c>
      <c r="Z16">
        <f>SUMIFS('Evento R'!L:L,'Evento R'!$E:$E,Resumen!$E16)</f>
        <v>0</v>
      </c>
      <c r="AA16">
        <f>SUMIFS('Evento R'!M:M,'Evento R'!$E:$E,Resumen!$E16)</f>
        <v>5000</v>
      </c>
      <c r="AB16">
        <f>SUMIFS('Evento R'!N:N,'Evento R'!$E:$E,Resumen!$E16)</f>
        <v>0</v>
      </c>
      <c r="AC16">
        <f>SUMIFS('Evento R'!O:O,'Evento R'!$E:$E,Resumen!$E16)</f>
        <v>0</v>
      </c>
      <c r="AD16">
        <f>SUMIFS('Evento R'!P:P,'Evento R'!$E:$E,Resumen!$E16)</f>
        <v>0</v>
      </c>
      <c r="AE16">
        <f>SUMIFS('Evento R'!Q:Q,'Evento R'!$E:$E,Resumen!$E16)</f>
        <v>0</v>
      </c>
      <c r="AF16">
        <f t="shared" si="2"/>
        <v>-5000</v>
      </c>
      <c r="AH16">
        <f t="shared" si="3"/>
        <v>49981.250000000015</v>
      </c>
    </row>
    <row r="17" spans="1:34" x14ac:dyDescent="0.3">
      <c r="A17" s="8">
        <v>46376</v>
      </c>
      <c r="B17" s="5">
        <v>46376</v>
      </c>
      <c r="C17" s="5">
        <v>46376</v>
      </c>
      <c r="D17" s="6">
        <v>1</v>
      </c>
      <c r="E17" t="s">
        <v>55</v>
      </c>
      <c r="F17">
        <f t="shared" si="0"/>
        <v>49981.250000000015</v>
      </c>
      <c r="G17">
        <f>SUMIFS(Ingresos!H:H,Ingresos!A:A,Resumen!A17)+SUMIFS(Ingresos!I:I,Ingresos!A:A,Resumen!A17)+SUMIFS(Ingresos!K:K,Ingresos!A:A,Resumen!A17)</f>
        <v>0</v>
      </c>
      <c r="H17">
        <f>SUMIFS('Gasto Real'!H:H,'Gasto Real'!$E:$E,Resumen!$E17)</f>
        <v>0</v>
      </c>
      <c r="I17">
        <f>SUMIFS('Gasto Real'!I:I,'Gasto Real'!$E:$E,Resumen!$E17)</f>
        <v>0</v>
      </c>
      <c r="J17">
        <f>SUMIFS('Gasto Real'!J:J,'Gasto Real'!$E:$E,Resumen!$E17)</f>
        <v>0</v>
      </c>
      <c r="K17">
        <f>SUMIFS('Gasto Real'!K:K,'Gasto Real'!$E:$E,Resumen!$E17)</f>
        <v>0</v>
      </c>
      <c r="L17">
        <f>SUMIFS('Gasto Real'!L:L,'Gasto Real'!$E:$E,Resumen!$E17)</f>
        <v>0</v>
      </c>
      <c r="M17">
        <f>SUMIFS('Gasto Real'!M:M,'Gasto Real'!$E:$E,Resumen!$E17)</f>
        <v>0</v>
      </c>
      <c r="N17">
        <f>SUMIFS('Gasto Real'!N:N,'Gasto Real'!$E:$E,Resumen!$E17)</f>
        <v>0</v>
      </c>
      <c r="O17">
        <f>SUMIFS('Gasto Real'!O:O,'Gasto Real'!$E:$E,Resumen!$E17)</f>
        <v>1800</v>
      </c>
      <c r="P17">
        <f>SUMIFS('Gasto Real'!P:P,'Gasto Real'!$E:$E,Resumen!$E17)</f>
        <v>0</v>
      </c>
      <c r="Q17">
        <f>SUMIFS('Gasto Real'!Q:Q,'Gasto Real'!$E:$E,Resumen!$E17)</f>
        <v>0</v>
      </c>
      <c r="R17">
        <f>SUMIFS('Gasto Real'!R:R,'Gasto Real'!$E:$E,Resumen!$E17)</f>
        <v>70</v>
      </c>
      <c r="S17">
        <f>SUMIFS('Gasto Real'!S:S,'Gasto Real'!$E:$E,Resumen!$E17)</f>
        <v>70</v>
      </c>
      <c r="T17">
        <f>SUMIFS('Gasto Real'!T:T,'Gasto Real'!$E:$E,Resumen!$E17)</f>
        <v>0</v>
      </c>
      <c r="U17">
        <f t="shared" si="1"/>
        <v>-1940</v>
      </c>
      <c r="V17">
        <f>SUMIFS('Evento R'!H:H,'Evento R'!$E:$E,Resumen!$E17)</f>
        <v>0</v>
      </c>
      <c r="W17">
        <f>SUMIFS('Evento R'!I:I,'Evento R'!$E:$E,Resumen!$E17)</f>
        <v>0</v>
      </c>
      <c r="X17">
        <f>SUMIFS('Evento R'!J:J,'Evento R'!$E:$E,Resumen!$E17)</f>
        <v>0</v>
      </c>
      <c r="Y17">
        <f>SUMIFS('Evento R'!K:K,'Evento R'!$E:$E,Resumen!$E17)</f>
        <v>0</v>
      </c>
      <c r="Z17">
        <f>SUMIFS('Evento R'!L:L,'Evento R'!$E:$E,Resumen!$E17)</f>
        <v>0</v>
      </c>
      <c r="AA17">
        <f>SUMIFS('Evento R'!M:M,'Evento R'!$E:$E,Resumen!$E17)</f>
        <v>0</v>
      </c>
      <c r="AB17">
        <f>SUMIFS('Evento R'!N:N,'Evento R'!$E:$E,Resumen!$E17)</f>
        <v>0</v>
      </c>
      <c r="AC17">
        <f>SUMIFS('Evento R'!O:O,'Evento R'!$E:$E,Resumen!$E17)</f>
        <v>0</v>
      </c>
      <c r="AD17">
        <f>SUMIFS('Evento R'!P:P,'Evento R'!$E:$E,Resumen!$E17)</f>
        <v>0</v>
      </c>
      <c r="AE17">
        <f>SUMIFS('Evento R'!Q:Q,'Evento R'!$E:$E,Resumen!$E17)</f>
        <v>0</v>
      </c>
      <c r="AF17">
        <f t="shared" si="2"/>
        <v>0</v>
      </c>
      <c r="AH17">
        <f t="shared" si="3"/>
        <v>48041.250000000015</v>
      </c>
    </row>
  </sheetData>
  <autoFilter ref="A1:AH17" xr:uid="{736D32E5-3E13-4021-992E-BAF95F4B2FD6}"/>
  <conditionalFormatting sqref="A1:A17">
    <cfRule type="expression" dxfId="1" priority="1">
      <formula>TODAY() = A1</formula>
    </cfRule>
    <cfRule type="expression" dxfId="0" priority="2">
      <formula>WEEKDAY(A1)=1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✈️</vt:lpstr>
      <vt:lpstr>Ingresos</vt:lpstr>
      <vt:lpstr>Gasto Real</vt:lpstr>
      <vt:lpstr>Evento R</vt:lpstr>
      <vt:lpstr>Goals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Quiroga</dc:creator>
  <cp:lastModifiedBy>Francisco Quiroga</cp:lastModifiedBy>
  <dcterms:created xsi:type="dcterms:W3CDTF">2026-01-08T16:18:31Z</dcterms:created>
  <dcterms:modified xsi:type="dcterms:W3CDTF">2026-06-02T14:45:35Z</dcterms:modified>
</cp:coreProperties>
</file>